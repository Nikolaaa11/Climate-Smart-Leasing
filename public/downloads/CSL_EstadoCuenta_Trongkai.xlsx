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Todas las cuotas" sheetId="2" state="visible" r:id="rId2"/>
    <sheet xmlns:r="http://schemas.openxmlformats.org/officeDocument/2006/relationships" name="Pagos recibidos" sheetId="3" state="visible" r:id="rId3"/>
  </sheets>
  <definedNames>
    <definedName name="_xlnm.Print_Titles" localSheetId="1">'Todas las cuotas'!$1:$5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(&quot;$&quot;#,##0);&quot;—&quot;"/>
    <numFmt numFmtId="165" formatCode="0.0%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24"/>
    </font>
    <font>
      <name val="Arial"/>
      <i val="1"/>
      <color rgb="00FFFFFF"/>
      <sz val="11"/>
    </font>
    <font>
      <name val="Arial"/>
      <b val="1"/>
      <color rgb="00475569"/>
      <sz val="10"/>
    </font>
    <font>
      <name val="Arial"/>
      <b val="1"/>
      <color rgb="00B91C1C"/>
      <sz val="56"/>
    </font>
    <font>
      <name val="Arial"/>
      <i val="1"/>
      <color rgb="00475569"/>
      <sz val="12"/>
    </font>
    <font>
      <name val="Arial"/>
      <b val="1"/>
      <color rgb="00475569"/>
      <sz val="9"/>
    </font>
    <font>
      <name val="Arial"/>
      <b val="1"/>
      <color rgb="00B91C1C"/>
      <sz val="20"/>
    </font>
    <font>
      <name val="Arial"/>
      <b val="1"/>
      <color rgb="0016A34A"/>
      <sz val="20"/>
    </font>
    <font>
      <name val="Arial"/>
      <b val="1"/>
      <color rgb="007F1D1D"/>
      <sz val="20"/>
    </font>
    <font>
      <name val="Arial"/>
      <b val="1"/>
      <color rgb="00B91C1C"/>
      <sz val="12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b val="1"/>
      <color rgb="00B91C1C"/>
      <sz val="10"/>
    </font>
    <font>
      <name val="Arial"/>
      <color rgb="00475569"/>
      <sz val="10"/>
    </font>
    <font>
      <name val="Arial"/>
      <b val="1"/>
      <color rgb="00FFFFFF"/>
      <sz val="12"/>
    </font>
    <font>
      <name val="Arial"/>
      <color rgb="00475569"/>
      <sz val="11"/>
    </font>
    <font>
      <name val="Arial"/>
      <b val="1"/>
      <color rgb="000F172A"/>
      <sz val="12"/>
    </font>
    <font>
      <name val="Arial"/>
      <i val="1"/>
      <color rgb="00475569"/>
      <sz val="9"/>
    </font>
    <font>
      <name val="Arial"/>
      <color rgb="0094A3B8"/>
      <sz val="9"/>
    </font>
    <font>
      <name val="Arial"/>
      <b val="1"/>
      <color rgb="00FFFFFF"/>
      <sz val="14"/>
    </font>
    <font>
      <name val="Arial"/>
      <color rgb="0094A3B8"/>
      <sz val="10"/>
    </font>
    <font>
      <name val="Arial"/>
      <b val="1"/>
      <color rgb="00DC2626"/>
      <sz val="10"/>
    </font>
    <font>
      <name val="Arial"/>
      <color rgb="00475569"/>
      <sz val="9"/>
    </font>
    <font>
      <name val="Arial"/>
      <b val="1"/>
      <color rgb="0094A3B8"/>
      <sz val="10"/>
    </font>
    <font>
      <name val="Arial"/>
      <i val="1"/>
      <color rgb="00FFFFFF"/>
      <sz val="10"/>
    </font>
    <font>
      <name val="Arial"/>
      <b val="1"/>
      <i val="1"/>
      <color rgb="00B91C1C"/>
      <sz val="12"/>
    </font>
  </fonts>
  <fills count="8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FEF2F2"/>
      </patternFill>
    </fill>
    <fill>
      <patternFill patternType="solid">
        <fgColor rgb="00F8FAFC"/>
      </patternFill>
    </fill>
    <fill>
      <patternFill patternType="solid">
        <fgColor rgb="00B91C1C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bottom" indent="2"/>
    </xf>
    <xf numFmtId="0" fontId="2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top" indent="2"/>
    </xf>
    <xf numFmtId="0" fontId="4" fillId="0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164" fontId="8" fillId="4" borderId="1" applyAlignment="1" pivotButton="0" quotePrefix="0" xfId="0">
      <alignment horizontal="left" vertical="center" indent="1"/>
    </xf>
    <xf numFmtId="164" fontId="9" fillId="4" borderId="1" applyAlignment="1" pivotButton="0" quotePrefix="0" xfId="0">
      <alignment horizontal="left" vertical="center" indent="1"/>
    </xf>
    <xf numFmtId="165" fontId="10" fillId="4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right" vertical="center" indent="1"/>
    </xf>
    <xf numFmtId="0" fontId="1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4" fillId="0" borderId="1" applyAlignment="1" pivotButton="0" quotePrefix="0" xfId="0">
      <alignment horizontal="left" vertical="center" indent="1"/>
    </xf>
    <xf numFmtId="164" fontId="14" fillId="0" borderId="1" applyAlignment="1" pivotButton="0" quotePrefix="0" xfId="0">
      <alignment horizontal="right" vertical="center" indent="1"/>
    </xf>
    <xf numFmtId="164" fontId="15" fillId="0" borderId="1" applyAlignment="1" pivotButton="0" quotePrefix="0" xfId="0">
      <alignment horizontal="right" vertical="center" indent="1"/>
    </xf>
    <xf numFmtId="165" fontId="16" fillId="0" borderId="1" applyAlignment="1" pivotButton="0" quotePrefix="0" xfId="0">
      <alignment horizontal="right" vertical="center" indent="1"/>
    </xf>
    <xf numFmtId="0" fontId="1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17" fillId="5" borderId="1" applyAlignment="1" pivotButton="0" quotePrefix="0" xfId="0">
      <alignment horizontal="right" vertical="center" indent="1"/>
    </xf>
    <xf numFmtId="165" fontId="1" fillId="5" borderId="1" applyAlignment="1" pivotButton="0" quotePrefix="0" xfId="0">
      <alignment horizontal="right" vertical="center" indent="1"/>
    </xf>
    <xf numFmtId="0" fontId="18" fillId="4" borderId="1" applyAlignment="1" pivotButton="0" quotePrefix="0" xfId="0">
      <alignment horizontal="left" vertical="center" indent="2"/>
    </xf>
    <xf numFmtId="0" fontId="19" fillId="6" borderId="1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left" vertical="center" indent="2"/>
    </xf>
    <xf numFmtId="0" fontId="12" fillId="2" borderId="1" applyAlignment="1" pivotButton="0" quotePrefix="0" xfId="0">
      <alignment horizontal="center" vertical="center" indent="1"/>
    </xf>
    <xf numFmtId="164" fontId="23" fillId="0" borderId="1" applyAlignment="1" pivotButton="0" quotePrefix="0" xfId="0">
      <alignment horizontal="right" vertical="center" indent="1"/>
    </xf>
    <xf numFmtId="0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 indent="1"/>
    </xf>
    <xf numFmtId="0" fontId="23" fillId="7" borderId="1" applyAlignment="1" pivotButton="0" quotePrefix="0" xfId="0">
      <alignment horizontal="left" vertical="center" indent="1"/>
    </xf>
    <xf numFmtId="164" fontId="23" fillId="7" borderId="1" applyAlignment="1" pivotButton="0" quotePrefix="0" xfId="0">
      <alignment horizontal="right" vertical="center" indent="1"/>
    </xf>
    <xf numFmtId="0" fontId="23" fillId="7" borderId="1" applyAlignment="1" pivotButton="0" quotePrefix="0" xfId="0">
      <alignment horizontal="right" vertical="center" indent="1"/>
    </xf>
    <xf numFmtId="0" fontId="26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indent="1"/>
    </xf>
    <xf numFmtId="0" fontId="27" fillId="5" borderId="1" applyAlignment="1" pivotButton="0" quotePrefix="0" xfId="0">
      <alignment horizontal="left" vertical="center" indent="1"/>
    </xf>
    <xf numFmtId="164" fontId="1" fillId="5" borderId="1" applyAlignment="1" pivotButton="0" quotePrefix="0" xfId="0">
      <alignment horizontal="right" vertical="center" indent="1"/>
    </xf>
    <xf numFmtId="0" fontId="2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34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16" customHeight="1"/>
    <row r="2" ht="26" customHeight="1">
      <c r="B2" s="1" t="inlineStr">
        <is>
          <t>ESTADO DE CUENTA</t>
        </is>
      </c>
    </row>
    <row r="3" ht="12" customHeight="1"/>
    <row r="4" ht="36" customHeight="1">
      <c r="B4" s="2" t="inlineStr">
        <is>
          <t>Agrotecnologías e Ingeniería SpA</t>
        </is>
      </c>
    </row>
    <row r="5"/>
    <row r="6" ht="22" customHeight="1">
      <c r="B6" s="3" t="inlineStr">
        <is>
          <t>Contrato Electroporación ODIN Opticept · RUT 77.221.203-8 · Conciliado al 12 de mayo de 2026</t>
        </is>
      </c>
    </row>
    <row r="7" ht="14" customHeight="1"/>
    <row r="9" ht="22" customHeight="1">
      <c r="B9" s="4" t="inlineStr">
        <is>
          <t>SALDO QUE NOS DEBE A LA FECHA</t>
        </is>
      </c>
    </row>
    <row r="10" ht="30" customHeight="1">
      <c r="B10" s="5" t="n">
        <v>476000</v>
      </c>
    </row>
    <row r="11" ht="30" customHeight="1"/>
    <row r="12" ht="30" customHeight="1"/>
    <row r="13" ht="30" customHeight="1">
      <c r="B13" s="6" t="inlineStr">
        <is>
          <t>Primera cuota pendiente de pago — equipo ya entregado y operativo.</t>
        </is>
      </c>
    </row>
    <row r="15" ht="18" customHeight="1">
      <c r="B15" s="7" t="inlineStr">
        <is>
          <t>Facturado a la fecha</t>
        </is>
      </c>
      <c r="E15" s="7" t="inlineStr">
        <is>
          <t>Total recibido</t>
        </is>
      </c>
      <c r="H15" s="7" t="inlineStr">
        <is>
          <t>Cumplimiento</t>
        </is>
      </c>
    </row>
    <row r="16" ht="36" customHeight="1">
      <c r="B16" s="8" t="n">
        <v>476000</v>
      </c>
      <c r="E16" s="9" t="n">
        <v>0</v>
      </c>
      <c r="H16" s="10" t="n">
        <v>0</v>
      </c>
    </row>
    <row r="18" ht="28" customHeight="1">
      <c r="B18" s="11" t="inlineStr">
        <is>
          <t>¿DE DÓNDE VIENE LA DEUDA?</t>
        </is>
      </c>
    </row>
    <row r="19" ht="24" customHeight="1">
      <c r="B19" s="12" t="inlineStr">
        <is>
          <t>Mes</t>
        </is>
      </c>
      <c r="D19" s="12" t="inlineStr">
        <is>
          <t>Descripción</t>
        </is>
      </c>
      <c r="F19" s="13" t="inlineStr">
        <is>
          <t>Facturado</t>
        </is>
      </c>
      <c r="G19" s="13" t="inlineStr">
        <is>
          <t>Pagado</t>
        </is>
      </c>
      <c r="H19" s="13" t="inlineStr">
        <is>
          <t>Deuda</t>
        </is>
      </c>
      <c r="I19" s="13" t="inlineStr">
        <is>
          <t>% del total</t>
        </is>
      </c>
    </row>
    <row r="20" ht="22" customHeight="1">
      <c r="B20" s="14" t="inlineStr">
        <is>
          <t>2026-05</t>
        </is>
      </c>
      <c r="C20" s="15" t="n"/>
      <c r="D20" s="16" t="inlineStr">
        <is>
          <t>Renta cuota 1/60</t>
        </is>
      </c>
      <c r="E20" s="15" t="n"/>
      <c r="F20" s="17" t="n">
        <v>476000</v>
      </c>
      <c r="G20" s="17" t="n">
        <v>0</v>
      </c>
      <c r="H20" s="18" t="n">
        <v>476000</v>
      </c>
      <c r="I20" s="19" t="n">
        <v>1</v>
      </c>
      <c r="J20" s="15" t="n"/>
    </row>
    <row r="21" ht="26" customHeight="1">
      <c r="B21" s="20" t="inlineStr">
        <is>
          <t>TOTAL DEUDA</t>
        </is>
      </c>
      <c r="F21" s="21" t="n"/>
      <c r="G21" s="21" t="n"/>
      <c r="H21" s="22">
        <f>SUM(H20:H20)</f>
        <v/>
      </c>
      <c r="I21" s="23" t="n">
        <v>1</v>
      </c>
      <c r="J21" s="21" t="n"/>
    </row>
    <row r="24" ht="28" customHeight="1">
      <c r="B24" s="11" t="inlineStr">
        <is>
          <t>CÓMO REGULARIZAR — DATOS PARA TRANSFERENCIA</t>
        </is>
      </c>
    </row>
    <row r="25" ht="30" customHeight="1">
      <c r="B25" s="24" t="inlineStr">
        <is>
          <t>Banco</t>
        </is>
      </c>
      <c r="C25" s="15" t="n"/>
      <c r="D25" s="15" t="n"/>
      <c r="E25" s="25" t="inlineStr">
        <is>
          <t>Santander</t>
        </is>
      </c>
      <c r="F25" s="15" t="n"/>
      <c r="G25" s="15" t="n"/>
      <c r="H25" s="15" t="n"/>
      <c r="I25" s="15" t="n"/>
      <c r="J25" s="15" t="n"/>
    </row>
    <row r="26" ht="30" customHeight="1">
      <c r="B26" s="24" t="inlineStr">
        <is>
          <t>Titular</t>
        </is>
      </c>
      <c r="C26" s="15" t="n"/>
      <c r="D26" s="15" t="n"/>
      <c r="E26" s="25" t="inlineStr">
        <is>
          <t>Climate Smart Leasing SpA</t>
        </is>
      </c>
      <c r="F26" s="15" t="n"/>
      <c r="G26" s="15" t="n"/>
      <c r="H26" s="15" t="n"/>
      <c r="I26" s="15" t="n"/>
      <c r="J26" s="15" t="n"/>
    </row>
    <row r="27" ht="30" customHeight="1">
      <c r="B27" s="24" t="inlineStr">
        <is>
          <t>RUT</t>
        </is>
      </c>
      <c r="C27" s="15" t="n"/>
      <c r="D27" s="15" t="n"/>
      <c r="E27" s="25" t="inlineStr">
        <is>
          <t>77.620.301-4</t>
        </is>
      </c>
      <c r="F27" s="15" t="n"/>
      <c r="G27" s="15" t="n"/>
      <c r="H27" s="15" t="n"/>
      <c r="I27" s="15" t="n"/>
      <c r="J27" s="15" t="n"/>
    </row>
    <row r="28" ht="30" customHeight="1">
      <c r="B28" s="24" t="inlineStr">
        <is>
          <t>Tipo de cuenta</t>
        </is>
      </c>
      <c r="C28" s="15" t="n"/>
      <c r="D28" s="15" t="n"/>
      <c r="E28" s="25" t="inlineStr">
        <is>
          <t>Cuenta corriente</t>
        </is>
      </c>
      <c r="F28" s="15" t="n"/>
      <c r="G28" s="15" t="n"/>
      <c r="H28" s="15" t="n"/>
      <c r="I28" s="15" t="n"/>
      <c r="J28" s="15" t="n"/>
    </row>
    <row r="29" ht="30" customHeight="1">
      <c r="B29" s="24" t="inlineStr">
        <is>
          <t>N° de cuenta</t>
        </is>
      </c>
      <c r="C29" s="15" t="n"/>
      <c r="D29" s="15" t="n"/>
      <c r="E29" s="25" t="inlineStr">
        <is>
          <t>9427891-0</t>
        </is>
      </c>
      <c r="F29" s="15" t="n"/>
      <c r="G29" s="15" t="n"/>
      <c r="H29" s="15" t="n"/>
      <c r="I29" s="15" t="n"/>
      <c r="J29" s="15" t="n"/>
    </row>
    <row r="30" ht="30" customHeight="1">
      <c r="B30" s="24" t="inlineStr">
        <is>
          <t>Email confirmación</t>
        </is>
      </c>
      <c r="C30" s="15" t="n"/>
      <c r="D30" s="15" t="n"/>
      <c r="E30" s="25" t="inlineStr">
        <is>
          <t>nikolasromero@climatesmartleasing.com</t>
        </is>
      </c>
      <c r="F30" s="15" t="n"/>
      <c r="G30" s="15" t="n"/>
      <c r="H30" s="15" t="n"/>
      <c r="I30" s="15" t="n"/>
      <c r="J30" s="15" t="n"/>
    </row>
    <row r="33" ht="24" customHeight="1">
      <c r="B33" s="26" t="inlineStr">
        <is>
          <t>Documento conciliado contra los movimientos de la cuenta Santander N° 9427891-0 · Emitido el 26 de mayo de 2026</t>
        </is>
      </c>
    </row>
    <row r="34" ht="18" customHeight="1">
      <c r="B34" s="27" t="inlineStr">
        <is>
          <t>Climate Smart Leasing SpA · Avenida Chacabuco 485, Of. 302, Concepción · RUT 77.620.301-4</t>
        </is>
      </c>
    </row>
  </sheetData>
  <mergeCells count="36">
    <mergeCell ref="D20:E20"/>
    <mergeCell ref="E28:J28"/>
    <mergeCell ref="D19:E19"/>
    <mergeCell ref="B10:J12"/>
    <mergeCell ref="B29:D29"/>
    <mergeCell ref="B4:J5"/>
    <mergeCell ref="E15:G15"/>
    <mergeCell ref="B13:J13"/>
    <mergeCell ref="E30:J30"/>
    <mergeCell ref="H16:J16"/>
    <mergeCell ref="B28:D28"/>
    <mergeCell ref="B34:J34"/>
    <mergeCell ref="E27:J27"/>
    <mergeCell ref="B9:J9"/>
    <mergeCell ref="B30:D30"/>
    <mergeCell ref="E26:J26"/>
    <mergeCell ref="B15:D15"/>
    <mergeCell ref="B24:J24"/>
    <mergeCell ref="E16:G16"/>
    <mergeCell ref="H15:J15"/>
    <mergeCell ref="B2:J3"/>
    <mergeCell ref="I21:J21"/>
    <mergeCell ref="E25:J25"/>
    <mergeCell ref="B33:J33"/>
    <mergeCell ref="B19:C19"/>
    <mergeCell ref="B21:E21"/>
    <mergeCell ref="B26:D26"/>
    <mergeCell ref="B25:D25"/>
    <mergeCell ref="B16:D16"/>
    <mergeCell ref="I20:J20"/>
    <mergeCell ref="B20:C20"/>
    <mergeCell ref="B6:J7"/>
    <mergeCell ref="I19:J19"/>
    <mergeCell ref="B27:D27"/>
    <mergeCell ref="B18:J18"/>
    <mergeCell ref="E29:J29"/>
  </mergeCells>
  <pageMargins left="0.4" right="0.4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66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22" customWidth="1" min="3" max="3"/>
    <col width="14" customWidth="1" min="4" max="4"/>
    <col width="14" customWidth="1" min="5" max="5"/>
    <col width="14" customWidth="1" min="6" max="6"/>
    <col width="11" customWidth="1" min="7" max="7"/>
    <col width="32" customWidth="1" min="8" max="8"/>
    <col width="2" customWidth="1" min="9" max="9"/>
  </cols>
  <sheetData>
    <row r="2" ht="32" customHeight="1">
      <c r="B2" s="28" t="inlineStr">
        <is>
          <t>TODAS LAS CUOTAS DEL CONTRATO — ELECTROPORACIÓN ODIN OPTICEPT</t>
        </is>
      </c>
    </row>
    <row r="3" ht="20" customHeight="1">
      <c r="B3" s="29" t="inlineStr">
        <is>
          <t>60 cuotas en total · Las cuotas pasadas muestran el pago real recibido · Las cuotas futuras son proyectadas</t>
        </is>
      </c>
    </row>
    <row r="5" ht="24" customHeight="1">
      <c r="B5" s="12" t="inlineStr">
        <is>
          <t>Mes</t>
        </is>
      </c>
      <c r="C5" s="12" t="inlineStr">
        <is>
          <t>Concepto</t>
        </is>
      </c>
      <c r="D5" s="13" t="inlineStr">
        <is>
          <t>Facturado</t>
        </is>
      </c>
      <c r="E5" s="13" t="inlineStr">
        <is>
          <t>Pagado</t>
        </is>
      </c>
      <c r="F5" s="13" t="inlineStr">
        <is>
          <t>Deuda</t>
        </is>
      </c>
      <c r="G5" s="30" t="inlineStr">
        <is>
          <t>Estado</t>
        </is>
      </c>
      <c r="H5" s="12" t="inlineStr">
        <is>
          <t>Observación</t>
        </is>
      </c>
    </row>
    <row r="6" ht="22" customHeight="1">
      <c r="B6" s="14" t="inlineStr">
        <is>
          <t>2026-05</t>
        </is>
      </c>
      <c r="C6" s="16" t="inlineStr">
        <is>
          <t>Renta cuota 1/60</t>
        </is>
      </c>
      <c r="D6" s="17" t="n">
        <v>476000</v>
      </c>
      <c r="E6" s="31" t="n">
        <v>0</v>
      </c>
      <c r="F6" s="18">
        <f>D6-IF(ISNUMBER(E6),E6,0)</f>
        <v/>
      </c>
      <c r="G6" s="32" t="inlineStr">
        <is>
          <t>Pendiente</t>
        </is>
      </c>
      <c r="H6" s="33" t="inlineStr">
        <is>
          <t>PRIMERA CUOTA PENDIENTE — equipo entregado 01-mar-2026</t>
        </is>
      </c>
    </row>
    <row r="7" ht="22" customHeight="1">
      <c r="B7" s="34" t="inlineStr">
        <is>
          <t>2026-06</t>
        </is>
      </c>
      <c r="C7" s="34" t="inlineStr">
        <is>
          <t>Renta cuota 2/60</t>
        </is>
      </c>
      <c r="D7" s="35" t="n">
        <v>476000</v>
      </c>
      <c r="E7" s="36" t="inlineStr">
        <is>
          <t>—</t>
        </is>
      </c>
      <c r="F7" s="36" t="inlineStr">
        <is>
          <t>—</t>
        </is>
      </c>
      <c r="G7" s="37" t="inlineStr">
        <is>
          <t>Por vencer</t>
        </is>
      </c>
      <c r="H7" s="38" t="inlineStr">
        <is>
          <t>Cuota futura ($400.000 + IVA)</t>
        </is>
      </c>
    </row>
    <row r="8" ht="22" customHeight="1">
      <c r="B8" s="34" t="inlineStr">
        <is>
          <t>2026-07</t>
        </is>
      </c>
      <c r="C8" s="34" t="inlineStr">
        <is>
          <t>Renta cuota 3/60</t>
        </is>
      </c>
      <c r="D8" s="35" t="n">
        <v>476000</v>
      </c>
      <c r="E8" s="36" t="inlineStr">
        <is>
          <t>—</t>
        </is>
      </c>
      <c r="F8" s="36" t="inlineStr">
        <is>
          <t>—</t>
        </is>
      </c>
      <c r="G8" s="37" t="inlineStr">
        <is>
          <t>Por vencer</t>
        </is>
      </c>
      <c r="H8" s="38" t="inlineStr">
        <is>
          <t>Cuota futura ($400.000 + IVA)</t>
        </is>
      </c>
    </row>
    <row r="9" ht="22" customHeight="1">
      <c r="B9" s="34" t="inlineStr">
        <is>
          <t>2026-08</t>
        </is>
      </c>
      <c r="C9" s="34" t="inlineStr">
        <is>
          <t>Renta cuota 4/60</t>
        </is>
      </c>
      <c r="D9" s="35" t="n">
        <v>476000</v>
      </c>
      <c r="E9" s="36" t="inlineStr">
        <is>
          <t>—</t>
        </is>
      </c>
      <c r="F9" s="36" t="inlineStr">
        <is>
          <t>—</t>
        </is>
      </c>
      <c r="G9" s="37" t="inlineStr">
        <is>
          <t>Por vencer</t>
        </is>
      </c>
      <c r="H9" s="38" t="inlineStr">
        <is>
          <t>Cuota futura ($400.000 + IVA)</t>
        </is>
      </c>
    </row>
    <row r="10" ht="22" customHeight="1">
      <c r="B10" s="34" t="inlineStr">
        <is>
          <t>2026-09</t>
        </is>
      </c>
      <c r="C10" s="34" t="inlineStr">
        <is>
          <t>Renta cuota 5/60</t>
        </is>
      </c>
      <c r="D10" s="35" t="n">
        <v>476000</v>
      </c>
      <c r="E10" s="36" t="inlineStr">
        <is>
          <t>—</t>
        </is>
      </c>
      <c r="F10" s="36" t="inlineStr">
        <is>
          <t>—</t>
        </is>
      </c>
      <c r="G10" s="37" t="inlineStr">
        <is>
          <t>Por vencer</t>
        </is>
      </c>
      <c r="H10" s="38" t="inlineStr">
        <is>
          <t>Cuota futura ($400.000 + IVA)</t>
        </is>
      </c>
    </row>
    <row r="11" ht="22" customHeight="1">
      <c r="B11" s="34" t="inlineStr">
        <is>
          <t>2026-10</t>
        </is>
      </c>
      <c r="C11" s="34" t="inlineStr">
        <is>
          <t>Renta cuota 6/60</t>
        </is>
      </c>
      <c r="D11" s="35" t="n">
        <v>476000</v>
      </c>
      <c r="E11" s="36" t="inlineStr">
        <is>
          <t>—</t>
        </is>
      </c>
      <c r="F11" s="36" t="inlineStr">
        <is>
          <t>—</t>
        </is>
      </c>
      <c r="G11" s="37" t="inlineStr">
        <is>
          <t>Por vencer</t>
        </is>
      </c>
      <c r="H11" s="38" t="inlineStr">
        <is>
          <t>Cuota futura ($400.000 + IVA)</t>
        </is>
      </c>
    </row>
    <row r="12" ht="22" customHeight="1">
      <c r="B12" s="34" t="inlineStr">
        <is>
          <t>2026-11</t>
        </is>
      </c>
      <c r="C12" s="34" t="inlineStr">
        <is>
          <t>Renta cuota 7/60</t>
        </is>
      </c>
      <c r="D12" s="35" t="n">
        <v>476000</v>
      </c>
      <c r="E12" s="36" t="inlineStr">
        <is>
          <t>—</t>
        </is>
      </c>
      <c r="F12" s="36" t="inlineStr">
        <is>
          <t>—</t>
        </is>
      </c>
      <c r="G12" s="37" t="inlineStr">
        <is>
          <t>Por vencer</t>
        </is>
      </c>
      <c r="H12" s="38" t="inlineStr">
        <is>
          <t>Cuota futura ($400.000 + IVA)</t>
        </is>
      </c>
    </row>
    <row r="13" ht="22" customHeight="1">
      <c r="B13" s="34" t="inlineStr">
        <is>
          <t>2026-12</t>
        </is>
      </c>
      <c r="C13" s="34" t="inlineStr">
        <is>
          <t>Renta cuota 8/60</t>
        </is>
      </c>
      <c r="D13" s="35" t="n">
        <v>476000</v>
      </c>
      <c r="E13" s="36" t="inlineStr">
        <is>
          <t>—</t>
        </is>
      </c>
      <c r="F13" s="36" t="inlineStr">
        <is>
          <t>—</t>
        </is>
      </c>
      <c r="G13" s="37" t="inlineStr">
        <is>
          <t>Por vencer</t>
        </is>
      </c>
      <c r="H13" s="38" t="inlineStr">
        <is>
          <t>Cuota futura ($400.000 + IVA)</t>
        </is>
      </c>
    </row>
    <row r="14" ht="22" customHeight="1">
      <c r="B14" s="34" t="inlineStr">
        <is>
          <t>2027-01</t>
        </is>
      </c>
      <c r="C14" s="34" t="inlineStr">
        <is>
          <t>Renta cuota 9/60</t>
        </is>
      </c>
      <c r="D14" s="35" t="n">
        <v>476000</v>
      </c>
      <c r="E14" s="36" t="inlineStr">
        <is>
          <t>—</t>
        </is>
      </c>
      <c r="F14" s="36" t="inlineStr">
        <is>
          <t>—</t>
        </is>
      </c>
      <c r="G14" s="37" t="inlineStr">
        <is>
          <t>Por vencer</t>
        </is>
      </c>
      <c r="H14" s="38" t="inlineStr">
        <is>
          <t>Tarifa por hora desde 2027 (mín. $400.000 neto + IVA)</t>
        </is>
      </c>
    </row>
    <row r="15" ht="22" customHeight="1">
      <c r="B15" s="34" t="inlineStr">
        <is>
          <t>2027-02</t>
        </is>
      </c>
      <c r="C15" s="34" t="inlineStr">
        <is>
          <t>Renta cuota 10/60</t>
        </is>
      </c>
      <c r="D15" s="35" t="n">
        <v>476000</v>
      </c>
      <c r="E15" s="36" t="inlineStr">
        <is>
          <t>—</t>
        </is>
      </c>
      <c r="F15" s="36" t="inlineStr">
        <is>
          <t>—</t>
        </is>
      </c>
      <c r="G15" s="37" t="inlineStr">
        <is>
          <t>Por vencer</t>
        </is>
      </c>
      <c r="H15" s="38" t="inlineStr">
        <is>
          <t>Tarifa por hora desde 2027 (mín. $400.000 neto + IVA)</t>
        </is>
      </c>
    </row>
    <row r="16" ht="22" customHeight="1">
      <c r="B16" s="34" t="inlineStr">
        <is>
          <t>2027-03</t>
        </is>
      </c>
      <c r="C16" s="34" t="inlineStr">
        <is>
          <t>Renta cuota 11/60</t>
        </is>
      </c>
      <c r="D16" s="35" t="n">
        <v>476000</v>
      </c>
      <c r="E16" s="36" t="inlineStr">
        <is>
          <t>—</t>
        </is>
      </c>
      <c r="F16" s="36" t="inlineStr">
        <is>
          <t>—</t>
        </is>
      </c>
      <c r="G16" s="37" t="inlineStr">
        <is>
          <t>Por vencer</t>
        </is>
      </c>
      <c r="H16" s="38" t="inlineStr">
        <is>
          <t>Tarifa por hora desde 2027 (mín. $400.000 neto + IVA)</t>
        </is>
      </c>
    </row>
    <row r="17" ht="22" customHeight="1">
      <c r="B17" s="34" t="inlineStr">
        <is>
          <t>2027-04</t>
        </is>
      </c>
      <c r="C17" s="34" t="inlineStr">
        <is>
          <t>Renta cuota 12/60</t>
        </is>
      </c>
      <c r="D17" s="35" t="n">
        <v>476000</v>
      </c>
      <c r="E17" s="36" t="inlineStr">
        <is>
          <t>—</t>
        </is>
      </c>
      <c r="F17" s="36" t="inlineStr">
        <is>
          <t>—</t>
        </is>
      </c>
      <c r="G17" s="37" t="inlineStr">
        <is>
          <t>Por vencer</t>
        </is>
      </c>
      <c r="H17" s="38" t="inlineStr">
        <is>
          <t>Tarifa por hora desde 2027 (mín. $400.000 neto + IVA)</t>
        </is>
      </c>
    </row>
    <row r="18" ht="22" customHeight="1">
      <c r="B18" s="34" t="inlineStr">
        <is>
          <t>2027-05</t>
        </is>
      </c>
      <c r="C18" s="34" t="inlineStr">
        <is>
          <t>Renta cuota 13/60</t>
        </is>
      </c>
      <c r="D18" s="35" t="n">
        <v>476000</v>
      </c>
      <c r="E18" s="36" t="inlineStr">
        <is>
          <t>—</t>
        </is>
      </c>
      <c r="F18" s="36" t="inlineStr">
        <is>
          <t>—</t>
        </is>
      </c>
      <c r="G18" s="37" t="inlineStr">
        <is>
          <t>Por vencer</t>
        </is>
      </c>
      <c r="H18" s="38" t="inlineStr">
        <is>
          <t>Tarifa por hora desde 2027 (mín. $400.000 neto + IVA)</t>
        </is>
      </c>
    </row>
    <row r="19" ht="22" customHeight="1">
      <c r="B19" s="34" t="inlineStr">
        <is>
          <t>2027-06</t>
        </is>
      </c>
      <c r="C19" s="34" t="inlineStr">
        <is>
          <t>Renta cuota 14/60</t>
        </is>
      </c>
      <c r="D19" s="35" t="n">
        <v>476000</v>
      </c>
      <c r="E19" s="36" t="inlineStr">
        <is>
          <t>—</t>
        </is>
      </c>
      <c r="F19" s="36" t="inlineStr">
        <is>
          <t>—</t>
        </is>
      </c>
      <c r="G19" s="37" t="inlineStr">
        <is>
          <t>Por vencer</t>
        </is>
      </c>
      <c r="H19" s="38" t="inlineStr">
        <is>
          <t>Tarifa por hora desde 2027 (mín. $400.000 neto + IVA)</t>
        </is>
      </c>
    </row>
    <row r="20" ht="22" customHeight="1">
      <c r="B20" s="34" t="inlineStr">
        <is>
          <t>2027-07</t>
        </is>
      </c>
      <c r="C20" s="34" t="inlineStr">
        <is>
          <t>Renta cuota 15/60</t>
        </is>
      </c>
      <c r="D20" s="35" t="n">
        <v>476000</v>
      </c>
      <c r="E20" s="36" t="inlineStr">
        <is>
          <t>—</t>
        </is>
      </c>
      <c r="F20" s="36" t="inlineStr">
        <is>
          <t>—</t>
        </is>
      </c>
      <c r="G20" s="37" t="inlineStr">
        <is>
          <t>Por vencer</t>
        </is>
      </c>
      <c r="H20" s="38" t="inlineStr">
        <is>
          <t>Tarifa por hora desde 2027 (mín. $400.000 neto + IVA)</t>
        </is>
      </c>
    </row>
    <row r="21" ht="22" customHeight="1">
      <c r="B21" s="34" t="inlineStr">
        <is>
          <t>2027-08</t>
        </is>
      </c>
      <c r="C21" s="34" t="inlineStr">
        <is>
          <t>Renta cuota 16/60</t>
        </is>
      </c>
      <c r="D21" s="35" t="n">
        <v>476000</v>
      </c>
      <c r="E21" s="36" t="inlineStr">
        <is>
          <t>—</t>
        </is>
      </c>
      <c r="F21" s="36" t="inlineStr">
        <is>
          <t>—</t>
        </is>
      </c>
      <c r="G21" s="37" t="inlineStr">
        <is>
          <t>Por vencer</t>
        </is>
      </c>
      <c r="H21" s="38" t="inlineStr">
        <is>
          <t>Tarifa por hora desde 2027 (mín. $400.000 neto + IVA)</t>
        </is>
      </c>
    </row>
    <row r="22" ht="22" customHeight="1">
      <c r="B22" s="34" t="inlineStr">
        <is>
          <t>2027-09</t>
        </is>
      </c>
      <c r="C22" s="34" t="inlineStr">
        <is>
          <t>Renta cuota 17/60</t>
        </is>
      </c>
      <c r="D22" s="35" t="n">
        <v>476000</v>
      </c>
      <c r="E22" s="36" t="inlineStr">
        <is>
          <t>—</t>
        </is>
      </c>
      <c r="F22" s="36" t="inlineStr">
        <is>
          <t>—</t>
        </is>
      </c>
      <c r="G22" s="37" t="inlineStr">
        <is>
          <t>Por vencer</t>
        </is>
      </c>
      <c r="H22" s="38" t="inlineStr">
        <is>
          <t>Tarifa por hora desde 2027 (mín. $400.000 neto + IVA)</t>
        </is>
      </c>
    </row>
    <row r="23" ht="22" customHeight="1">
      <c r="B23" s="34" t="inlineStr">
        <is>
          <t>2027-10</t>
        </is>
      </c>
      <c r="C23" s="34" t="inlineStr">
        <is>
          <t>Renta cuota 18/60</t>
        </is>
      </c>
      <c r="D23" s="35" t="n">
        <v>476000</v>
      </c>
      <c r="E23" s="36" t="inlineStr">
        <is>
          <t>—</t>
        </is>
      </c>
      <c r="F23" s="36" t="inlineStr">
        <is>
          <t>—</t>
        </is>
      </c>
      <c r="G23" s="37" t="inlineStr">
        <is>
          <t>Por vencer</t>
        </is>
      </c>
      <c r="H23" s="38" t="inlineStr">
        <is>
          <t>Tarifa por hora desde 2027 (mín. $400.000 neto + IVA)</t>
        </is>
      </c>
    </row>
    <row r="24" ht="22" customHeight="1">
      <c r="B24" s="34" t="inlineStr">
        <is>
          <t>2027-11</t>
        </is>
      </c>
      <c r="C24" s="34" t="inlineStr">
        <is>
          <t>Renta cuota 19/60</t>
        </is>
      </c>
      <c r="D24" s="35" t="n">
        <v>476000</v>
      </c>
      <c r="E24" s="36" t="inlineStr">
        <is>
          <t>—</t>
        </is>
      </c>
      <c r="F24" s="36" t="inlineStr">
        <is>
          <t>—</t>
        </is>
      </c>
      <c r="G24" s="37" t="inlineStr">
        <is>
          <t>Por vencer</t>
        </is>
      </c>
      <c r="H24" s="38" t="inlineStr">
        <is>
          <t>Tarifa por hora desde 2027 (mín. $400.000 neto + IVA)</t>
        </is>
      </c>
    </row>
    <row r="25" ht="22" customHeight="1">
      <c r="B25" s="34" t="inlineStr">
        <is>
          <t>2027-12</t>
        </is>
      </c>
      <c r="C25" s="34" t="inlineStr">
        <is>
          <t>Renta cuota 20/60</t>
        </is>
      </c>
      <c r="D25" s="35" t="n">
        <v>476000</v>
      </c>
      <c r="E25" s="36" t="inlineStr">
        <is>
          <t>—</t>
        </is>
      </c>
      <c r="F25" s="36" t="inlineStr">
        <is>
          <t>—</t>
        </is>
      </c>
      <c r="G25" s="37" t="inlineStr">
        <is>
          <t>Por vencer</t>
        </is>
      </c>
      <c r="H25" s="38" t="inlineStr">
        <is>
          <t>Tarifa por hora desde 2027 (mín. $400.000 neto + IVA)</t>
        </is>
      </c>
    </row>
    <row r="26" ht="22" customHeight="1">
      <c r="B26" s="34" t="inlineStr">
        <is>
          <t>2028-01</t>
        </is>
      </c>
      <c r="C26" s="34" t="inlineStr">
        <is>
          <t>Renta cuota 21/60</t>
        </is>
      </c>
      <c r="D26" s="35" t="n">
        <v>476000</v>
      </c>
      <c r="E26" s="36" t="inlineStr">
        <is>
          <t>—</t>
        </is>
      </c>
      <c r="F26" s="36" t="inlineStr">
        <is>
          <t>—</t>
        </is>
      </c>
      <c r="G26" s="37" t="inlineStr">
        <is>
          <t>Por vencer</t>
        </is>
      </c>
      <c r="H26" s="38" t="inlineStr">
        <is>
          <t>Tarifa por hora desde 2027 (mín. $400.000 neto + IVA)</t>
        </is>
      </c>
    </row>
    <row r="27" ht="22" customHeight="1">
      <c r="B27" s="34" t="inlineStr">
        <is>
          <t>2028-02</t>
        </is>
      </c>
      <c r="C27" s="34" t="inlineStr">
        <is>
          <t>Renta cuota 22/60</t>
        </is>
      </c>
      <c r="D27" s="35" t="n">
        <v>476000</v>
      </c>
      <c r="E27" s="36" t="inlineStr">
        <is>
          <t>—</t>
        </is>
      </c>
      <c r="F27" s="36" t="inlineStr">
        <is>
          <t>—</t>
        </is>
      </c>
      <c r="G27" s="37" t="inlineStr">
        <is>
          <t>Por vencer</t>
        </is>
      </c>
      <c r="H27" s="38" t="inlineStr">
        <is>
          <t>Tarifa por hora desde 2027 (mín. $400.000 neto + IVA)</t>
        </is>
      </c>
    </row>
    <row r="28" ht="22" customHeight="1">
      <c r="B28" s="34" t="inlineStr">
        <is>
          <t>2028-03</t>
        </is>
      </c>
      <c r="C28" s="34" t="inlineStr">
        <is>
          <t>Renta cuota 23/60</t>
        </is>
      </c>
      <c r="D28" s="35" t="n">
        <v>476000</v>
      </c>
      <c r="E28" s="36" t="inlineStr">
        <is>
          <t>—</t>
        </is>
      </c>
      <c r="F28" s="36" t="inlineStr">
        <is>
          <t>—</t>
        </is>
      </c>
      <c r="G28" s="37" t="inlineStr">
        <is>
          <t>Por vencer</t>
        </is>
      </c>
      <c r="H28" s="38" t="inlineStr">
        <is>
          <t>Tarifa por hora desde 2027 (mín. $400.000 neto + IVA)</t>
        </is>
      </c>
    </row>
    <row r="29" ht="22" customHeight="1">
      <c r="B29" s="34" t="inlineStr">
        <is>
          <t>2028-04</t>
        </is>
      </c>
      <c r="C29" s="34" t="inlineStr">
        <is>
          <t>Renta cuota 24/60</t>
        </is>
      </c>
      <c r="D29" s="35" t="n">
        <v>476000</v>
      </c>
      <c r="E29" s="36" t="inlineStr">
        <is>
          <t>—</t>
        </is>
      </c>
      <c r="F29" s="36" t="inlineStr">
        <is>
          <t>—</t>
        </is>
      </c>
      <c r="G29" s="37" t="inlineStr">
        <is>
          <t>Por vencer</t>
        </is>
      </c>
      <c r="H29" s="38" t="inlineStr">
        <is>
          <t>Tarifa por hora desde 2027 (mín. $400.000 neto + IVA)</t>
        </is>
      </c>
    </row>
    <row r="30" ht="22" customHeight="1">
      <c r="B30" s="34" t="inlineStr">
        <is>
          <t>2028-05</t>
        </is>
      </c>
      <c r="C30" s="34" t="inlineStr">
        <is>
          <t>Renta cuota 25/60</t>
        </is>
      </c>
      <c r="D30" s="35" t="n">
        <v>476000</v>
      </c>
      <c r="E30" s="36" t="inlineStr">
        <is>
          <t>—</t>
        </is>
      </c>
      <c r="F30" s="36" t="inlineStr">
        <is>
          <t>—</t>
        </is>
      </c>
      <c r="G30" s="37" t="inlineStr">
        <is>
          <t>Por vencer</t>
        </is>
      </c>
      <c r="H30" s="38" t="inlineStr">
        <is>
          <t>Tarifa por hora desde 2027 (mín. $400.000 neto + IVA)</t>
        </is>
      </c>
    </row>
    <row r="31" ht="22" customHeight="1">
      <c r="B31" s="34" t="inlineStr">
        <is>
          <t>2028-06</t>
        </is>
      </c>
      <c r="C31" s="34" t="inlineStr">
        <is>
          <t>Renta cuota 26/60</t>
        </is>
      </c>
      <c r="D31" s="35" t="n">
        <v>476000</v>
      </c>
      <c r="E31" s="36" t="inlineStr">
        <is>
          <t>—</t>
        </is>
      </c>
      <c r="F31" s="36" t="inlineStr">
        <is>
          <t>—</t>
        </is>
      </c>
      <c r="G31" s="37" t="inlineStr">
        <is>
          <t>Por vencer</t>
        </is>
      </c>
      <c r="H31" s="38" t="inlineStr">
        <is>
          <t>Tarifa por hora desde 2027 (mín. $400.000 neto + IVA)</t>
        </is>
      </c>
    </row>
    <row r="32" ht="22" customHeight="1">
      <c r="B32" s="34" t="inlineStr">
        <is>
          <t>2028-07</t>
        </is>
      </c>
      <c r="C32" s="34" t="inlineStr">
        <is>
          <t>Renta cuota 27/60</t>
        </is>
      </c>
      <c r="D32" s="35" t="n">
        <v>476000</v>
      </c>
      <c r="E32" s="36" t="inlineStr">
        <is>
          <t>—</t>
        </is>
      </c>
      <c r="F32" s="36" t="inlineStr">
        <is>
          <t>—</t>
        </is>
      </c>
      <c r="G32" s="37" t="inlineStr">
        <is>
          <t>Por vencer</t>
        </is>
      </c>
      <c r="H32" s="38" t="inlineStr">
        <is>
          <t>Tarifa por hora desde 2027 (mín. $400.000 neto + IVA)</t>
        </is>
      </c>
    </row>
    <row r="33" ht="22" customHeight="1">
      <c r="B33" s="34" t="inlineStr">
        <is>
          <t>2028-08</t>
        </is>
      </c>
      <c r="C33" s="34" t="inlineStr">
        <is>
          <t>Renta cuota 28/60</t>
        </is>
      </c>
      <c r="D33" s="35" t="n">
        <v>476000</v>
      </c>
      <c r="E33" s="36" t="inlineStr">
        <is>
          <t>—</t>
        </is>
      </c>
      <c r="F33" s="36" t="inlineStr">
        <is>
          <t>—</t>
        </is>
      </c>
      <c r="G33" s="37" t="inlineStr">
        <is>
          <t>Por vencer</t>
        </is>
      </c>
      <c r="H33" s="38" t="inlineStr">
        <is>
          <t>Tarifa por hora desde 2027 (mín. $400.000 neto + IVA)</t>
        </is>
      </c>
    </row>
    <row r="34" ht="22" customHeight="1">
      <c r="B34" s="34" t="inlineStr">
        <is>
          <t>2028-09</t>
        </is>
      </c>
      <c r="C34" s="34" t="inlineStr">
        <is>
          <t>Renta cuota 29/60</t>
        </is>
      </c>
      <c r="D34" s="35" t="n">
        <v>476000</v>
      </c>
      <c r="E34" s="36" t="inlineStr">
        <is>
          <t>—</t>
        </is>
      </c>
      <c r="F34" s="36" t="inlineStr">
        <is>
          <t>—</t>
        </is>
      </c>
      <c r="G34" s="37" t="inlineStr">
        <is>
          <t>Por vencer</t>
        </is>
      </c>
      <c r="H34" s="38" t="inlineStr">
        <is>
          <t>Tarifa por hora desde 2027 (mín. $400.000 neto + IVA)</t>
        </is>
      </c>
    </row>
    <row r="35" ht="22" customHeight="1">
      <c r="B35" s="34" t="inlineStr">
        <is>
          <t>2028-10</t>
        </is>
      </c>
      <c r="C35" s="34" t="inlineStr">
        <is>
          <t>Renta cuota 30/60</t>
        </is>
      </c>
      <c r="D35" s="35" t="n">
        <v>476000</v>
      </c>
      <c r="E35" s="36" t="inlineStr">
        <is>
          <t>—</t>
        </is>
      </c>
      <c r="F35" s="36" t="inlineStr">
        <is>
          <t>—</t>
        </is>
      </c>
      <c r="G35" s="37" t="inlineStr">
        <is>
          <t>Por vencer</t>
        </is>
      </c>
      <c r="H35" s="38" t="inlineStr">
        <is>
          <t>Tarifa por hora desde 2027 (mín. $400.000 neto + IVA)</t>
        </is>
      </c>
    </row>
    <row r="36" ht="22" customHeight="1">
      <c r="B36" s="34" t="inlineStr">
        <is>
          <t>2028-11</t>
        </is>
      </c>
      <c r="C36" s="34" t="inlineStr">
        <is>
          <t>Renta cuota 31/60</t>
        </is>
      </c>
      <c r="D36" s="35" t="n">
        <v>476000</v>
      </c>
      <c r="E36" s="36" t="inlineStr">
        <is>
          <t>—</t>
        </is>
      </c>
      <c r="F36" s="36" t="inlineStr">
        <is>
          <t>—</t>
        </is>
      </c>
      <c r="G36" s="37" t="inlineStr">
        <is>
          <t>Por vencer</t>
        </is>
      </c>
      <c r="H36" s="38" t="inlineStr">
        <is>
          <t>Tarifa por hora desde 2027 (mín. $400.000 neto + IVA)</t>
        </is>
      </c>
    </row>
    <row r="37" ht="22" customHeight="1">
      <c r="B37" s="34" t="inlineStr">
        <is>
          <t>2028-12</t>
        </is>
      </c>
      <c r="C37" s="34" t="inlineStr">
        <is>
          <t>Renta cuota 32/60</t>
        </is>
      </c>
      <c r="D37" s="35" t="n">
        <v>476000</v>
      </c>
      <c r="E37" s="36" t="inlineStr">
        <is>
          <t>—</t>
        </is>
      </c>
      <c r="F37" s="36" t="inlineStr">
        <is>
          <t>—</t>
        </is>
      </c>
      <c r="G37" s="37" t="inlineStr">
        <is>
          <t>Por vencer</t>
        </is>
      </c>
      <c r="H37" s="38" t="inlineStr">
        <is>
          <t>Tarifa por hora desde 2027 (mín. $400.000 neto + IVA)</t>
        </is>
      </c>
    </row>
    <row r="38" ht="22" customHeight="1">
      <c r="B38" s="34" t="inlineStr">
        <is>
          <t>2029-01</t>
        </is>
      </c>
      <c r="C38" s="34" t="inlineStr">
        <is>
          <t>Renta cuota 33/60</t>
        </is>
      </c>
      <c r="D38" s="35" t="n">
        <v>476000</v>
      </c>
      <c r="E38" s="36" t="inlineStr">
        <is>
          <t>—</t>
        </is>
      </c>
      <c r="F38" s="36" t="inlineStr">
        <is>
          <t>—</t>
        </is>
      </c>
      <c r="G38" s="37" t="inlineStr">
        <is>
          <t>Por vencer</t>
        </is>
      </c>
      <c r="H38" s="38" t="inlineStr">
        <is>
          <t>Tarifa por hora desde 2027 (mín. $400.000 neto + IVA)</t>
        </is>
      </c>
    </row>
    <row r="39" ht="22" customHeight="1">
      <c r="B39" s="34" t="inlineStr">
        <is>
          <t>2029-02</t>
        </is>
      </c>
      <c r="C39" s="34" t="inlineStr">
        <is>
          <t>Renta cuota 34/60</t>
        </is>
      </c>
      <c r="D39" s="35" t="n">
        <v>476000</v>
      </c>
      <c r="E39" s="36" t="inlineStr">
        <is>
          <t>—</t>
        </is>
      </c>
      <c r="F39" s="36" t="inlineStr">
        <is>
          <t>—</t>
        </is>
      </c>
      <c r="G39" s="37" t="inlineStr">
        <is>
          <t>Por vencer</t>
        </is>
      </c>
      <c r="H39" s="38" t="inlineStr">
        <is>
          <t>Tarifa por hora desde 2027 (mín. $400.000 neto + IVA)</t>
        </is>
      </c>
    </row>
    <row r="40" ht="22" customHeight="1">
      <c r="B40" s="34" t="inlineStr">
        <is>
          <t>2029-03</t>
        </is>
      </c>
      <c r="C40" s="34" t="inlineStr">
        <is>
          <t>Renta cuota 35/60</t>
        </is>
      </c>
      <c r="D40" s="35" t="n">
        <v>476000</v>
      </c>
      <c r="E40" s="36" t="inlineStr">
        <is>
          <t>—</t>
        </is>
      </c>
      <c r="F40" s="36" t="inlineStr">
        <is>
          <t>—</t>
        </is>
      </c>
      <c r="G40" s="37" t="inlineStr">
        <is>
          <t>Por vencer</t>
        </is>
      </c>
      <c r="H40" s="38" t="inlineStr">
        <is>
          <t>Tarifa por hora desde 2027 (mín. $400.000 neto + IVA)</t>
        </is>
      </c>
    </row>
    <row r="41" ht="22" customHeight="1">
      <c r="B41" s="34" t="inlineStr">
        <is>
          <t>2029-04</t>
        </is>
      </c>
      <c r="C41" s="34" t="inlineStr">
        <is>
          <t>Renta cuota 36/60</t>
        </is>
      </c>
      <c r="D41" s="35" t="n">
        <v>476000</v>
      </c>
      <c r="E41" s="36" t="inlineStr">
        <is>
          <t>—</t>
        </is>
      </c>
      <c r="F41" s="36" t="inlineStr">
        <is>
          <t>—</t>
        </is>
      </c>
      <c r="G41" s="37" t="inlineStr">
        <is>
          <t>Por vencer</t>
        </is>
      </c>
      <c r="H41" s="38" t="inlineStr">
        <is>
          <t>Tarifa por hora desde 2027 (mín. $400.000 neto + IVA)</t>
        </is>
      </c>
    </row>
    <row r="42" ht="22" customHeight="1">
      <c r="B42" s="34" t="inlineStr">
        <is>
          <t>2029-05</t>
        </is>
      </c>
      <c r="C42" s="34" t="inlineStr">
        <is>
          <t>Renta cuota 37/60</t>
        </is>
      </c>
      <c r="D42" s="35" t="n">
        <v>476000</v>
      </c>
      <c r="E42" s="36" t="inlineStr">
        <is>
          <t>—</t>
        </is>
      </c>
      <c r="F42" s="36" t="inlineStr">
        <is>
          <t>—</t>
        </is>
      </c>
      <c r="G42" s="37" t="inlineStr">
        <is>
          <t>Por vencer</t>
        </is>
      </c>
      <c r="H42" s="38" t="inlineStr">
        <is>
          <t>Tarifa por hora desde 2027 (mín. $400.000 neto + IVA)</t>
        </is>
      </c>
    </row>
    <row r="43" ht="22" customHeight="1">
      <c r="B43" s="34" t="inlineStr">
        <is>
          <t>2029-06</t>
        </is>
      </c>
      <c r="C43" s="34" t="inlineStr">
        <is>
          <t>Renta cuota 38/60</t>
        </is>
      </c>
      <c r="D43" s="35" t="n">
        <v>476000</v>
      </c>
      <c r="E43" s="36" t="inlineStr">
        <is>
          <t>—</t>
        </is>
      </c>
      <c r="F43" s="36" t="inlineStr">
        <is>
          <t>—</t>
        </is>
      </c>
      <c r="G43" s="37" t="inlineStr">
        <is>
          <t>Por vencer</t>
        </is>
      </c>
      <c r="H43" s="38" t="inlineStr">
        <is>
          <t>Tarifa por hora desde 2027 (mín. $400.000 neto + IVA)</t>
        </is>
      </c>
    </row>
    <row r="44" ht="22" customHeight="1">
      <c r="B44" s="34" t="inlineStr">
        <is>
          <t>2029-07</t>
        </is>
      </c>
      <c r="C44" s="34" t="inlineStr">
        <is>
          <t>Renta cuota 39/60</t>
        </is>
      </c>
      <c r="D44" s="35" t="n">
        <v>476000</v>
      </c>
      <c r="E44" s="36" t="inlineStr">
        <is>
          <t>—</t>
        </is>
      </c>
      <c r="F44" s="36" t="inlineStr">
        <is>
          <t>—</t>
        </is>
      </c>
      <c r="G44" s="37" t="inlineStr">
        <is>
          <t>Por vencer</t>
        </is>
      </c>
      <c r="H44" s="38" t="inlineStr">
        <is>
          <t>Tarifa por hora desde 2027 (mín. $400.000 neto + IVA)</t>
        </is>
      </c>
    </row>
    <row r="45" ht="22" customHeight="1">
      <c r="B45" s="34" t="inlineStr">
        <is>
          <t>2029-08</t>
        </is>
      </c>
      <c r="C45" s="34" t="inlineStr">
        <is>
          <t>Renta cuota 40/60</t>
        </is>
      </c>
      <c r="D45" s="35" t="n">
        <v>476000</v>
      </c>
      <c r="E45" s="36" t="inlineStr">
        <is>
          <t>—</t>
        </is>
      </c>
      <c r="F45" s="36" t="inlineStr">
        <is>
          <t>—</t>
        </is>
      </c>
      <c r="G45" s="37" t="inlineStr">
        <is>
          <t>Por vencer</t>
        </is>
      </c>
      <c r="H45" s="38" t="inlineStr">
        <is>
          <t>Tarifa por hora desde 2027 (mín. $400.000 neto + IVA)</t>
        </is>
      </c>
    </row>
    <row r="46" ht="22" customHeight="1">
      <c r="B46" s="34" t="inlineStr">
        <is>
          <t>2029-09</t>
        </is>
      </c>
      <c r="C46" s="34" t="inlineStr">
        <is>
          <t>Renta cuota 41/60</t>
        </is>
      </c>
      <c r="D46" s="35" t="n">
        <v>476000</v>
      </c>
      <c r="E46" s="36" t="inlineStr">
        <is>
          <t>—</t>
        </is>
      </c>
      <c r="F46" s="36" t="inlineStr">
        <is>
          <t>—</t>
        </is>
      </c>
      <c r="G46" s="37" t="inlineStr">
        <is>
          <t>Por vencer</t>
        </is>
      </c>
      <c r="H46" s="38" t="inlineStr">
        <is>
          <t>Tarifa por hora desde 2027 (mín. $400.000 neto + IVA)</t>
        </is>
      </c>
    </row>
    <row r="47" ht="22" customHeight="1">
      <c r="B47" s="34" t="inlineStr">
        <is>
          <t>2029-10</t>
        </is>
      </c>
      <c r="C47" s="34" t="inlineStr">
        <is>
          <t>Renta cuota 42/60</t>
        </is>
      </c>
      <c r="D47" s="35" t="n">
        <v>476000</v>
      </c>
      <c r="E47" s="36" t="inlineStr">
        <is>
          <t>—</t>
        </is>
      </c>
      <c r="F47" s="36" t="inlineStr">
        <is>
          <t>—</t>
        </is>
      </c>
      <c r="G47" s="37" t="inlineStr">
        <is>
          <t>Por vencer</t>
        </is>
      </c>
      <c r="H47" s="38" t="inlineStr">
        <is>
          <t>Tarifa por hora desde 2027 (mín. $400.000 neto + IVA)</t>
        </is>
      </c>
    </row>
    <row r="48" ht="22" customHeight="1">
      <c r="B48" s="34" t="inlineStr">
        <is>
          <t>2029-11</t>
        </is>
      </c>
      <c r="C48" s="34" t="inlineStr">
        <is>
          <t>Renta cuota 43/60</t>
        </is>
      </c>
      <c r="D48" s="35" t="n">
        <v>476000</v>
      </c>
      <c r="E48" s="36" t="inlineStr">
        <is>
          <t>—</t>
        </is>
      </c>
      <c r="F48" s="36" t="inlineStr">
        <is>
          <t>—</t>
        </is>
      </c>
      <c r="G48" s="37" t="inlineStr">
        <is>
          <t>Por vencer</t>
        </is>
      </c>
      <c r="H48" s="38" t="inlineStr">
        <is>
          <t>Tarifa por hora desde 2027 (mín. $400.000 neto + IVA)</t>
        </is>
      </c>
    </row>
    <row r="49" ht="22" customHeight="1">
      <c r="B49" s="34" t="inlineStr">
        <is>
          <t>2029-12</t>
        </is>
      </c>
      <c r="C49" s="34" t="inlineStr">
        <is>
          <t>Renta cuota 44/60</t>
        </is>
      </c>
      <c r="D49" s="35" t="n">
        <v>476000</v>
      </c>
      <c r="E49" s="36" t="inlineStr">
        <is>
          <t>—</t>
        </is>
      </c>
      <c r="F49" s="36" t="inlineStr">
        <is>
          <t>—</t>
        </is>
      </c>
      <c r="G49" s="37" t="inlineStr">
        <is>
          <t>Por vencer</t>
        </is>
      </c>
      <c r="H49" s="38" t="inlineStr">
        <is>
          <t>Tarifa por hora desde 2027 (mín. $400.000 neto + IVA)</t>
        </is>
      </c>
    </row>
    <row r="50" ht="22" customHeight="1">
      <c r="B50" s="34" t="inlineStr">
        <is>
          <t>2030-01</t>
        </is>
      </c>
      <c r="C50" s="34" t="inlineStr">
        <is>
          <t>Renta cuota 45/60</t>
        </is>
      </c>
      <c r="D50" s="35" t="n">
        <v>476000</v>
      </c>
      <c r="E50" s="36" t="inlineStr">
        <is>
          <t>—</t>
        </is>
      </c>
      <c r="F50" s="36" t="inlineStr">
        <is>
          <t>—</t>
        </is>
      </c>
      <c r="G50" s="37" t="inlineStr">
        <is>
          <t>Por vencer</t>
        </is>
      </c>
      <c r="H50" s="38" t="inlineStr">
        <is>
          <t>Tarifa por hora desde 2027 (mín. $400.000 neto + IVA)</t>
        </is>
      </c>
    </row>
    <row r="51" ht="22" customHeight="1">
      <c r="B51" s="34" t="inlineStr">
        <is>
          <t>2030-02</t>
        </is>
      </c>
      <c r="C51" s="34" t="inlineStr">
        <is>
          <t>Renta cuota 46/60</t>
        </is>
      </c>
      <c r="D51" s="35" t="n">
        <v>476000</v>
      </c>
      <c r="E51" s="36" t="inlineStr">
        <is>
          <t>—</t>
        </is>
      </c>
      <c r="F51" s="36" t="inlineStr">
        <is>
          <t>—</t>
        </is>
      </c>
      <c r="G51" s="37" t="inlineStr">
        <is>
          <t>Por vencer</t>
        </is>
      </c>
      <c r="H51" s="38" t="inlineStr">
        <is>
          <t>Tarifa por hora desde 2027 (mín. $400.000 neto + IVA)</t>
        </is>
      </c>
    </row>
    <row r="52" ht="22" customHeight="1">
      <c r="B52" s="34" t="inlineStr">
        <is>
          <t>2030-03</t>
        </is>
      </c>
      <c r="C52" s="34" t="inlineStr">
        <is>
          <t>Renta cuota 47/60</t>
        </is>
      </c>
      <c r="D52" s="35" t="n">
        <v>476000</v>
      </c>
      <c r="E52" s="36" t="inlineStr">
        <is>
          <t>—</t>
        </is>
      </c>
      <c r="F52" s="36" t="inlineStr">
        <is>
          <t>—</t>
        </is>
      </c>
      <c r="G52" s="37" t="inlineStr">
        <is>
          <t>Por vencer</t>
        </is>
      </c>
      <c r="H52" s="38" t="inlineStr">
        <is>
          <t>Tarifa por hora desde 2027 (mín. $400.000 neto + IVA)</t>
        </is>
      </c>
    </row>
    <row r="53" ht="22" customHeight="1">
      <c r="B53" s="34" t="inlineStr">
        <is>
          <t>2030-04</t>
        </is>
      </c>
      <c r="C53" s="34" t="inlineStr">
        <is>
          <t>Renta cuota 48/60</t>
        </is>
      </c>
      <c r="D53" s="35" t="n">
        <v>476000</v>
      </c>
      <c r="E53" s="36" t="inlineStr">
        <is>
          <t>—</t>
        </is>
      </c>
      <c r="F53" s="36" t="inlineStr">
        <is>
          <t>—</t>
        </is>
      </c>
      <c r="G53" s="37" t="inlineStr">
        <is>
          <t>Por vencer</t>
        </is>
      </c>
      <c r="H53" s="38" t="inlineStr">
        <is>
          <t>Tarifa por hora desde 2027 (mín. $400.000 neto + IVA)</t>
        </is>
      </c>
    </row>
    <row r="54" ht="22" customHeight="1">
      <c r="B54" s="34" t="inlineStr">
        <is>
          <t>2030-05</t>
        </is>
      </c>
      <c r="C54" s="34" t="inlineStr">
        <is>
          <t>Renta cuota 49/60</t>
        </is>
      </c>
      <c r="D54" s="35" t="n">
        <v>476000</v>
      </c>
      <c r="E54" s="36" t="inlineStr">
        <is>
          <t>—</t>
        </is>
      </c>
      <c r="F54" s="36" t="inlineStr">
        <is>
          <t>—</t>
        </is>
      </c>
      <c r="G54" s="37" t="inlineStr">
        <is>
          <t>Por vencer</t>
        </is>
      </c>
      <c r="H54" s="38" t="inlineStr">
        <is>
          <t>Tarifa por hora desde 2027 (mín. $400.000 neto + IVA)</t>
        </is>
      </c>
    </row>
    <row r="55" ht="22" customHeight="1">
      <c r="B55" s="34" t="inlineStr">
        <is>
          <t>2030-06</t>
        </is>
      </c>
      <c r="C55" s="34" t="inlineStr">
        <is>
          <t>Renta cuota 50/60</t>
        </is>
      </c>
      <c r="D55" s="35" t="n">
        <v>476000</v>
      </c>
      <c r="E55" s="36" t="inlineStr">
        <is>
          <t>—</t>
        </is>
      </c>
      <c r="F55" s="36" t="inlineStr">
        <is>
          <t>—</t>
        </is>
      </c>
      <c r="G55" s="37" t="inlineStr">
        <is>
          <t>Por vencer</t>
        </is>
      </c>
      <c r="H55" s="38" t="inlineStr">
        <is>
          <t>Tarifa por hora desde 2027 (mín. $400.000 neto + IVA)</t>
        </is>
      </c>
    </row>
    <row r="56" ht="22" customHeight="1">
      <c r="B56" s="34" t="inlineStr">
        <is>
          <t>2030-07</t>
        </is>
      </c>
      <c r="C56" s="34" t="inlineStr">
        <is>
          <t>Renta cuota 51/60</t>
        </is>
      </c>
      <c r="D56" s="35" t="n">
        <v>476000</v>
      </c>
      <c r="E56" s="36" t="inlineStr">
        <is>
          <t>—</t>
        </is>
      </c>
      <c r="F56" s="36" t="inlineStr">
        <is>
          <t>—</t>
        </is>
      </c>
      <c r="G56" s="37" t="inlineStr">
        <is>
          <t>Por vencer</t>
        </is>
      </c>
      <c r="H56" s="38" t="inlineStr">
        <is>
          <t>Tarifa por hora desde 2027 (mín. $400.000 neto + IVA)</t>
        </is>
      </c>
    </row>
    <row r="57" ht="22" customHeight="1">
      <c r="B57" s="34" t="inlineStr">
        <is>
          <t>2030-08</t>
        </is>
      </c>
      <c r="C57" s="34" t="inlineStr">
        <is>
          <t>Renta cuota 52/60</t>
        </is>
      </c>
      <c r="D57" s="35" t="n">
        <v>476000</v>
      </c>
      <c r="E57" s="36" t="inlineStr">
        <is>
          <t>—</t>
        </is>
      </c>
      <c r="F57" s="36" t="inlineStr">
        <is>
          <t>—</t>
        </is>
      </c>
      <c r="G57" s="37" t="inlineStr">
        <is>
          <t>Por vencer</t>
        </is>
      </c>
      <c r="H57" s="38" t="inlineStr">
        <is>
          <t>Tarifa por hora desde 2027 (mín. $400.000 neto + IVA)</t>
        </is>
      </c>
    </row>
    <row r="58" ht="22" customHeight="1">
      <c r="B58" s="34" t="inlineStr">
        <is>
          <t>2030-09</t>
        </is>
      </c>
      <c r="C58" s="34" t="inlineStr">
        <is>
          <t>Renta cuota 53/60</t>
        </is>
      </c>
      <c r="D58" s="35" t="n">
        <v>476000</v>
      </c>
      <c r="E58" s="36" t="inlineStr">
        <is>
          <t>—</t>
        </is>
      </c>
      <c r="F58" s="36" t="inlineStr">
        <is>
          <t>—</t>
        </is>
      </c>
      <c r="G58" s="37" t="inlineStr">
        <is>
          <t>Por vencer</t>
        </is>
      </c>
      <c r="H58" s="38" t="inlineStr">
        <is>
          <t>Tarifa por hora desde 2027 (mín. $400.000 neto + IVA)</t>
        </is>
      </c>
    </row>
    <row r="59" ht="22" customHeight="1">
      <c r="B59" s="34" t="inlineStr">
        <is>
          <t>2030-10</t>
        </is>
      </c>
      <c r="C59" s="34" t="inlineStr">
        <is>
          <t>Renta cuota 54/60</t>
        </is>
      </c>
      <c r="D59" s="35" t="n">
        <v>476000</v>
      </c>
      <c r="E59" s="36" t="inlineStr">
        <is>
          <t>—</t>
        </is>
      </c>
      <c r="F59" s="36" t="inlineStr">
        <is>
          <t>—</t>
        </is>
      </c>
      <c r="G59" s="37" t="inlineStr">
        <is>
          <t>Por vencer</t>
        </is>
      </c>
      <c r="H59" s="38" t="inlineStr">
        <is>
          <t>Tarifa por hora desde 2027 (mín. $400.000 neto + IVA)</t>
        </is>
      </c>
    </row>
    <row r="60" ht="22" customHeight="1">
      <c r="B60" s="34" t="inlineStr">
        <is>
          <t>2030-11</t>
        </is>
      </c>
      <c r="C60" s="34" t="inlineStr">
        <is>
          <t>Renta cuota 55/60</t>
        </is>
      </c>
      <c r="D60" s="35" t="n">
        <v>476000</v>
      </c>
      <c r="E60" s="36" t="inlineStr">
        <is>
          <t>—</t>
        </is>
      </c>
      <c r="F60" s="36" t="inlineStr">
        <is>
          <t>—</t>
        </is>
      </c>
      <c r="G60" s="37" t="inlineStr">
        <is>
          <t>Por vencer</t>
        </is>
      </c>
      <c r="H60" s="38" t="inlineStr">
        <is>
          <t>Tarifa por hora desde 2027 (mín. $400.000 neto + IVA)</t>
        </is>
      </c>
    </row>
    <row r="61" ht="22" customHeight="1">
      <c r="B61" s="34" t="inlineStr">
        <is>
          <t>2030-12</t>
        </is>
      </c>
      <c r="C61" s="34" t="inlineStr">
        <is>
          <t>Renta cuota 56/60</t>
        </is>
      </c>
      <c r="D61" s="35" t="n">
        <v>476000</v>
      </c>
      <c r="E61" s="36" t="inlineStr">
        <is>
          <t>—</t>
        </is>
      </c>
      <c r="F61" s="36" t="inlineStr">
        <is>
          <t>—</t>
        </is>
      </c>
      <c r="G61" s="37" t="inlineStr">
        <is>
          <t>Por vencer</t>
        </is>
      </c>
      <c r="H61" s="38" t="inlineStr">
        <is>
          <t>Tarifa por hora desde 2027 (mín. $400.000 neto + IVA)</t>
        </is>
      </c>
    </row>
    <row r="62" ht="22" customHeight="1">
      <c r="B62" s="34" t="inlineStr">
        <is>
          <t>2031-01</t>
        </is>
      </c>
      <c r="C62" s="34" t="inlineStr">
        <is>
          <t>Renta cuota 57/60</t>
        </is>
      </c>
      <c r="D62" s="35" t="n">
        <v>476000</v>
      </c>
      <c r="E62" s="36" t="inlineStr">
        <is>
          <t>—</t>
        </is>
      </c>
      <c r="F62" s="36" t="inlineStr">
        <is>
          <t>—</t>
        </is>
      </c>
      <c r="G62" s="37" t="inlineStr">
        <is>
          <t>Por vencer</t>
        </is>
      </c>
      <c r="H62" s="38" t="inlineStr">
        <is>
          <t>Tarifa por hora desde 2027 (mín. $400.000 neto + IVA)</t>
        </is>
      </c>
    </row>
    <row r="63" ht="22" customHeight="1">
      <c r="B63" s="34" t="inlineStr">
        <is>
          <t>2031-02</t>
        </is>
      </c>
      <c r="C63" s="34" t="inlineStr">
        <is>
          <t>Renta cuota 58/60</t>
        </is>
      </c>
      <c r="D63" s="35" t="n">
        <v>476000</v>
      </c>
      <c r="E63" s="36" t="inlineStr">
        <is>
          <t>—</t>
        </is>
      </c>
      <c r="F63" s="36" t="inlineStr">
        <is>
          <t>—</t>
        </is>
      </c>
      <c r="G63" s="37" t="inlineStr">
        <is>
          <t>Por vencer</t>
        </is>
      </c>
      <c r="H63" s="38" t="inlineStr">
        <is>
          <t>Tarifa por hora desde 2027 (mín. $400.000 neto + IVA)</t>
        </is>
      </c>
    </row>
    <row r="64" ht="22" customHeight="1">
      <c r="B64" s="34" t="inlineStr">
        <is>
          <t>2031-03</t>
        </is>
      </c>
      <c r="C64" s="34" t="inlineStr">
        <is>
          <t>Renta cuota 59/60</t>
        </is>
      </c>
      <c r="D64" s="35" t="n">
        <v>476000</v>
      </c>
      <c r="E64" s="36" t="inlineStr">
        <is>
          <t>—</t>
        </is>
      </c>
      <c r="F64" s="36" t="inlineStr">
        <is>
          <t>—</t>
        </is>
      </c>
      <c r="G64" s="37" t="inlineStr">
        <is>
          <t>Por vencer</t>
        </is>
      </c>
      <c r="H64" s="38" t="inlineStr">
        <is>
          <t>Tarifa por hora desde 2027 (mín. $400.000 neto + IVA)</t>
        </is>
      </c>
    </row>
    <row r="65" ht="22" customHeight="1">
      <c r="B65" s="34" t="inlineStr">
        <is>
          <t>2031-04</t>
        </is>
      </c>
      <c r="C65" s="34" t="inlineStr">
        <is>
          <t>Renta cuota 60/60</t>
        </is>
      </c>
      <c r="D65" s="35" t="n">
        <v>476000</v>
      </c>
      <c r="E65" s="36" t="inlineStr">
        <is>
          <t>—</t>
        </is>
      </c>
      <c r="F65" s="36" t="inlineStr">
        <is>
          <t>—</t>
        </is>
      </c>
      <c r="G65" s="37" t="inlineStr">
        <is>
          <t>Por vencer</t>
        </is>
      </c>
      <c r="H65" s="38" t="inlineStr">
        <is>
          <t>Tarifa por hora desde 2027 (mín. $400.000 neto + IVA)</t>
        </is>
      </c>
    </row>
    <row r="66" ht="24" customHeight="1">
      <c r="B66" s="20" t="inlineStr">
        <is>
          <t>TOTAL</t>
        </is>
      </c>
      <c r="C66" s="39" t="inlineStr">
        <is>
          <t>60 cuotas</t>
        </is>
      </c>
      <c r="D66" s="40">
        <f>SUM(D6:D65)</f>
        <v/>
      </c>
      <c r="E66" s="40">
        <f>SUMIF(E6:E65,"&gt;0")</f>
        <v/>
      </c>
      <c r="F66" s="40">
        <f>SUMIF(F6:F65,"&gt;0")</f>
        <v/>
      </c>
      <c r="G66" s="21" t="n"/>
      <c r="H66" s="21" t="n"/>
    </row>
  </sheetData>
  <mergeCells count="2">
    <mergeCell ref="B3:H3"/>
    <mergeCell ref="B2:H2"/>
  </mergeCells>
  <pageMargins left="0.4" right="0.4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6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5" customWidth="1" min="3" max="3"/>
    <col width="16" customWidth="1" min="4" max="4"/>
    <col width="12" customWidth="1" min="5" max="5"/>
    <col width="32" customWidth="1" min="6" max="6"/>
    <col width="2" customWidth="1" min="7" max="7"/>
  </cols>
  <sheetData>
    <row r="2" ht="32" customHeight="1">
      <c r="B2" s="28" t="inlineStr">
        <is>
          <t>PAGOS RECIBIDOS — ELECTROPORACIÓN ODIN OPTICEPT</t>
        </is>
      </c>
    </row>
    <row r="3" ht="20" customHeight="1">
      <c r="B3" s="29" t="inlineStr">
        <is>
          <t>Cada fila representa una transferencia recibida en la cuenta Santander N° 9427891-0</t>
        </is>
      </c>
    </row>
    <row r="5" ht="24" customHeight="1">
      <c r="B5" s="12" t="inlineStr">
        <is>
          <t>Fecha</t>
        </is>
      </c>
      <c r="C5" s="12" t="inlineStr">
        <is>
          <t>Glosa cartola Santander</t>
        </is>
      </c>
      <c r="D5" s="13" t="inlineStr">
        <is>
          <t>Monto</t>
        </is>
      </c>
      <c r="E5" s="12" t="inlineStr">
        <is>
          <t>Período</t>
        </is>
      </c>
      <c r="F5" s="12" t="inlineStr">
        <is>
          <t>Aplicación</t>
        </is>
      </c>
    </row>
    <row r="6" ht="40" customHeight="1">
      <c r="B6" s="41" t="inlineStr">
        <is>
          <t>Sin pagos recibidos al 12-may-2026.</t>
        </is>
      </c>
    </row>
  </sheetData>
  <mergeCells count="3">
    <mergeCell ref="B2:F2"/>
    <mergeCell ref="B6:F6"/>
    <mergeCell ref="B3:F3"/>
  </mergeCells>
  <pageMargins left="0.4" right="0.4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2026-05-26T22:15:00Z</dcterms:created>
  <dcterms:modified xmlns:dcterms="http://purl.org/dc/terms/" xmlns:xsi="http://www.w3.org/2001/XMLSchema-instance" xsi:type="dcterms:W3CDTF">2026-05-26T22:15:00Z</dcterms:modified>
</cp:coreProperties>
</file>