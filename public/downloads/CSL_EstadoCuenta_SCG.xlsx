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Todas las cuotas" sheetId="2" state="visible" r:id="rId2"/>
    <sheet xmlns:r="http://schemas.openxmlformats.org/officeDocument/2006/relationships" name="F2 CORE — cuotas" sheetId="3" state="visible" r:id="rId3"/>
    <sheet xmlns:r="http://schemas.openxmlformats.org/officeDocument/2006/relationships" name="Pagos recibidos" sheetId="4" state="visible" r:id="rId4"/>
  </sheets>
  <definedNames>
    <definedName name="_xlnm.Print_Titles" localSheetId="1">'Todas las cuotas'!$1:$5</definedName>
    <definedName name="_xlnm.Print_Titles" localSheetId="2">'F2 CORE — cuotas'!$1:$5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;[Red](&quot;$&quot;#,##0);&quot;—&quot;"/>
    <numFmt numFmtId="165" formatCode="0.0%"/>
    <numFmt numFmtId="166" formatCode="yyyy-mm-dd"/>
  </numFmts>
  <fonts count="3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24"/>
    </font>
    <font>
      <name val="Arial"/>
      <i val="1"/>
      <color rgb="00FFFFFF"/>
      <sz val="11"/>
    </font>
    <font>
      <name val="Arial"/>
      <b val="1"/>
      <color rgb="00475569"/>
      <sz val="10"/>
    </font>
    <font>
      <name val="Arial"/>
      <b val="1"/>
      <color rgb="001E40AF"/>
      <sz val="56"/>
    </font>
    <font>
      <name val="Arial"/>
      <i val="1"/>
      <color rgb="00475569"/>
      <sz val="12"/>
    </font>
    <font>
      <name val="Arial"/>
      <b val="1"/>
      <color rgb="00475569"/>
      <sz val="9"/>
    </font>
    <font>
      <name val="Arial"/>
      <b val="1"/>
      <color rgb="001E40AF"/>
      <sz val="20"/>
    </font>
    <font>
      <name val="Arial"/>
      <b val="1"/>
      <color rgb="0016A34A"/>
      <sz val="20"/>
    </font>
    <font>
      <name val="Arial"/>
      <b val="1"/>
      <color rgb="001E3A8A"/>
      <sz val="20"/>
    </font>
    <font>
      <name val="Arial"/>
      <b val="1"/>
      <color rgb="001E40AF"/>
      <sz val="12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F172A"/>
      <sz val="10"/>
    </font>
    <font>
      <name val="Arial"/>
      <b val="1"/>
      <color rgb="001E40AF"/>
      <sz val="10"/>
    </font>
    <font>
      <name val="Arial"/>
      <color rgb="00475569"/>
      <sz val="10"/>
    </font>
    <font>
      <name val="Arial"/>
      <b val="1"/>
      <color rgb="00FFFFFF"/>
      <sz val="12"/>
    </font>
    <font>
      <name val="Arial"/>
      <color rgb="00475569"/>
      <sz val="11"/>
    </font>
    <font>
      <name val="Arial"/>
      <b val="1"/>
      <color rgb="000F172A"/>
      <sz val="12"/>
    </font>
    <font>
      <name val="Arial"/>
      <i val="1"/>
      <color rgb="00475569"/>
      <sz val="9"/>
    </font>
    <font>
      <name val="Arial"/>
      <color rgb="0094A3B8"/>
      <sz val="9"/>
    </font>
    <font>
      <name val="Arial"/>
      <b val="1"/>
      <color rgb="00FFFFFF"/>
      <sz val="14"/>
    </font>
    <font>
      <name val="Arial"/>
      <b val="1"/>
      <color rgb="0016A34A"/>
      <sz val="10"/>
    </font>
    <font>
      <name val="Arial"/>
      <b val="1"/>
      <color rgb="00F59E0B"/>
      <sz val="10"/>
    </font>
    <font>
      <name val="Arial"/>
      <color rgb="00475569"/>
      <sz val="9"/>
    </font>
    <font>
      <name val="Arial"/>
      <color rgb="0094A3B8"/>
      <sz val="10"/>
    </font>
    <font>
      <name val="Arial"/>
      <b val="1"/>
      <color rgb="00DC2626"/>
      <sz val="10"/>
    </font>
    <font>
      <name val="Arial"/>
      <b val="1"/>
      <color rgb="0094A3B8"/>
      <sz val="10"/>
    </font>
    <font>
      <name val="Arial"/>
      <i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1E40AF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left" vertical="bottom" indent="2"/>
    </xf>
    <xf numFmtId="0" fontId="2" fillId="2" borderId="0" applyAlignment="1" pivotButton="0" quotePrefix="0" xfId="0">
      <alignment horizontal="left" vertical="center" indent="2"/>
    </xf>
    <xf numFmtId="0" fontId="3" fillId="2" borderId="0" applyAlignment="1" pivotButton="0" quotePrefix="0" xfId="0">
      <alignment horizontal="left" vertical="top" indent="2"/>
    </xf>
    <xf numFmtId="0" fontId="4" fillId="0" borderId="0" applyAlignment="1" pivotButton="0" quotePrefix="0" xfId="0">
      <alignment horizontal="center" vertical="center"/>
    </xf>
    <xf numFmtId="164" fontId="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indent="1"/>
    </xf>
    <xf numFmtId="164" fontId="8" fillId="4" borderId="1" applyAlignment="1" pivotButton="0" quotePrefix="0" xfId="0">
      <alignment horizontal="left" vertical="center" indent="1"/>
    </xf>
    <xf numFmtId="164" fontId="9" fillId="4" borderId="1" applyAlignment="1" pivotButton="0" quotePrefix="0" xfId="0">
      <alignment horizontal="left" vertical="center" indent="1"/>
    </xf>
    <xf numFmtId="165" fontId="10" fillId="4" borderId="1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left" vertical="center"/>
    </xf>
    <xf numFmtId="0" fontId="12" fillId="2" borderId="1" applyAlignment="1" pivotButton="0" quotePrefix="0" xfId="0">
      <alignment horizontal="left" vertical="center" indent="1"/>
    </xf>
    <xf numFmtId="0" fontId="12" fillId="2" borderId="1" applyAlignment="1" pivotButton="0" quotePrefix="0" xfId="0">
      <alignment horizontal="right" vertical="center" indent="1"/>
    </xf>
    <xf numFmtId="0" fontId="13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14" fillId="0" borderId="1" applyAlignment="1" pivotButton="0" quotePrefix="0" xfId="0">
      <alignment horizontal="left" vertical="center" indent="1"/>
    </xf>
    <xf numFmtId="164" fontId="14" fillId="0" borderId="1" applyAlignment="1" pivotButton="0" quotePrefix="0" xfId="0">
      <alignment horizontal="right" vertical="center" indent="1"/>
    </xf>
    <xf numFmtId="164" fontId="15" fillId="0" borderId="1" applyAlignment="1" pivotButton="0" quotePrefix="0" xfId="0">
      <alignment horizontal="right" vertical="center" indent="1"/>
    </xf>
    <xf numFmtId="165" fontId="16" fillId="0" borderId="1" applyAlignment="1" pivotButton="0" quotePrefix="0" xfId="0">
      <alignment horizontal="right" vertical="center" indent="1"/>
    </xf>
    <xf numFmtId="0" fontId="13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0" fontId="14" fillId="4" borderId="1" applyAlignment="1" pivotButton="0" quotePrefix="0" xfId="0">
      <alignment horizontal="left" vertical="center" indent="1"/>
    </xf>
    <xf numFmtId="164" fontId="14" fillId="4" borderId="1" applyAlignment="1" pivotButton="0" quotePrefix="0" xfId="0">
      <alignment horizontal="right" vertical="center" indent="1"/>
    </xf>
    <xf numFmtId="164" fontId="15" fillId="4" borderId="1" applyAlignment="1" pivotButton="0" quotePrefix="0" xfId="0">
      <alignment horizontal="right" vertical="center" indent="1"/>
    </xf>
    <xf numFmtId="165" fontId="16" fillId="4" borderId="1" applyAlignment="1" pivotButton="0" quotePrefix="0" xfId="0">
      <alignment horizontal="right" vertical="center" indent="1"/>
    </xf>
    <xf numFmtId="0" fontId="1" fillId="5" borderId="1" applyAlignment="1" pivotButton="0" quotePrefix="0" xfId="0">
      <alignment horizontal="left" vertical="center" indent="1"/>
    </xf>
    <xf numFmtId="0" fontId="0" fillId="5" borderId="1" pivotButton="0" quotePrefix="0" xfId="0"/>
    <xf numFmtId="164" fontId="17" fillId="5" borderId="1" applyAlignment="1" pivotButton="0" quotePrefix="0" xfId="0">
      <alignment horizontal="right" vertical="center" indent="1"/>
    </xf>
    <xf numFmtId="165" fontId="1" fillId="5" borderId="1" applyAlignment="1" pivotButton="0" quotePrefix="0" xfId="0">
      <alignment horizontal="right" vertical="center" indent="1"/>
    </xf>
    <xf numFmtId="0" fontId="18" fillId="4" borderId="1" applyAlignment="1" pivotButton="0" quotePrefix="0" xfId="0">
      <alignment horizontal="left" vertical="center" indent="2"/>
    </xf>
    <xf numFmtId="0" fontId="19" fillId="6" borderId="1" applyAlignment="1" pivotButton="0" quotePrefix="0" xfId="0">
      <alignment horizontal="left" vertical="center" indent="2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2" borderId="0" applyAlignment="1" pivotButton="0" quotePrefix="0" xfId="0">
      <alignment horizontal="left" vertical="center" indent="2"/>
    </xf>
    <xf numFmtId="0" fontId="20" fillId="0" borderId="0" applyAlignment="1" pivotButton="0" quotePrefix="0" xfId="0">
      <alignment horizontal="left" vertical="center" indent="2"/>
    </xf>
    <xf numFmtId="0" fontId="12" fillId="2" borderId="1" applyAlignment="1" pivotButton="0" quotePrefix="0" xfId="0">
      <alignment horizontal="center" vertical="center" indent="1"/>
    </xf>
    <xf numFmtId="164" fontId="23" fillId="0" borderId="1" applyAlignment="1" pivotButton="0" quotePrefix="0" xfId="0">
      <alignment horizontal="right" vertical="center" indent="1"/>
    </xf>
    <xf numFmtId="0" fontId="24" fillId="0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left" vertical="center" indent="1"/>
    </xf>
    <xf numFmtId="164" fontId="23" fillId="4" borderId="1" applyAlignment="1" pivotButton="0" quotePrefix="0" xfId="0">
      <alignment horizontal="right" vertical="center" indent="1"/>
    </xf>
    <xf numFmtId="0" fontId="23" fillId="4" borderId="1" applyAlignment="1" pivotButton="0" quotePrefix="0" xfId="0">
      <alignment horizontal="center" vertical="center"/>
    </xf>
    <xf numFmtId="0" fontId="25" fillId="4" borderId="1" applyAlignment="1" pivotButton="0" quotePrefix="0" xfId="0">
      <alignment horizontal="left" vertical="center" indent="1"/>
    </xf>
    <xf numFmtId="0" fontId="23" fillId="0" borderId="1" applyAlignment="1" pivotButton="0" quotePrefix="0" xfId="0">
      <alignment horizontal="center" vertical="center"/>
    </xf>
    <xf numFmtId="164" fontId="26" fillId="4" borderId="1" applyAlignment="1" pivotButton="0" quotePrefix="0" xfId="0">
      <alignment horizontal="right" vertical="center" indent="1"/>
    </xf>
    <xf numFmtId="0" fontId="27" fillId="4" borderId="1" applyAlignment="1" pivotButton="0" quotePrefix="0" xfId="0">
      <alignment horizontal="center" vertical="center"/>
    </xf>
    <xf numFmtId="0" fontId="26" fillId="7" borderId="1" applyAlignment="1" pivotButton="0" quotePrefix="0" xfId="0">
      <alignment horizontal="left" vertical="center" indent="1"/>
    </xf>
    <xf numFmtId="164" fontId="26" fillId="7" borderId="1" applyAlignment="1" pivotButton="0" quotePrefix="0" xfId="0">
      <alignment horizontal="right" vertical="center" indent="1"/>
    </xf>
    <xf numFmtId="0" fontId="26" fillId="7" borderId="1" applyAlignment="1" pivotButton="0" quotePrefix="0" xfId="0">
      <alignment horizontal="right" vertical="center" indent="1"/>
    </xf>
    <xf numFmtId="0" fontId="28" fillId="7" borderId="1" applyAlignment="1" pivotButton="0" quotePrefix="0" xfId="0">
      <alignment horizontal="center" vertical="center"/>
    </xf>
    <xf numFmtId="0" fontId="25" fillId="7" borderId="1" applyAlignment="1" pivotButton="0" quotePrefix="0" xfId="0">
      <alignment horizontal="left" vertical="center" indent="1"/>
    </xf>
    <xf numFmtId="0" fontId="29" fillId="5" borderId="1" applyAlignment="1" pivotButton="0" quotePrefix="0" xfId="0">
      <alignment horizontal="left" vertical="center" indent="1"/>
    </xf>
    <xf numFmtId="164" fontId="1" fillId="5" borderId="1" applyAlignment="1" pivotButton="0" quotePrefix="0" xfId="0">
      <alignment horizontal="right" vertical="center" indent="1"/>
    </xf>
    <xf numFmtId="0" fontId="24" fillId="4" borderId="1" applyAlignment="1" pivotButton="0" quotePrefix="0" xfId="0">
      <alignment horizontal="center" vertical="center"/>
    </xf>
    <xf numFmtId="166" fontId="14" fillId="0" borderId="1" applyAlignment="1" pivotButton="0" quotePrefix="0" xfId="0">
      <alignment horizontal="left" vertical="center" indent="1"/>
    </xf>
    <xf numFmtId="164" fontId="23" fillId="0" borderId="1" applyAlignment="1" pivotButton="0" quotePrefix="0" xfId="0">
      <alignment horizontal="right" vertical="center"/>
    </xf>
    <xf numFmtId="166" fontId="14" fillId="4" borderId="1" applyAlignment="1" pivotButton="0" quotePrefix="0" xfId="0">
      <alignment horizontal="left" vertical="center" indent="1"/>
    </xf>
    <xf numFmtId="164" fontId="2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J61"/>
  <sheetViews>
    <sheetView showGridLines="0" showRowColHeader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" customWidth="1" min="11" max="11"/>
  </cols>
  <sheetData>
    <row r="1" ht="16" customHeight="1"/>
    <row r="2" ht="26" customHeight="1">
      <c r="B2" s="1" t="inlineStr">
        <is>
          <t>ESTADO DE CUENTA</t>
        </is>
      </c>
    </row>
    <row r="3" ht="12" customHeight="1"/>
    <row r="4" ht="36" customHeight="1">
      <c r="B4" s="2" t="inlineStr">
        <is>
          <t>SCG SpA</t>
        </is>
      </c>
    </row>
    <row r="5"/>
    <row r="6" ht="22" customHeight="1">
      <c r="B6" s="3" t="inlineStr">
        <is>
          <t>Contrato Flota Volvo EX30 PLUS y CORE · RUT 78.096.656-4 · Conciliado al 12 de mayo de 2026</t>
        </is>
      </c>
    </row>
    <row r="7" ht="14" customHeight="1"/>
    <row r="9" ht="22" customHeight="1">
      <c r="B9" s="4" t="inlineStr">
        <is>
          <t>SALDO QUE NOS DEBE A LA FECHA</t>
        </is>
      </c>
    </row>
    <row r="10" ht="30" customHeight="1">
      <c r="B10" s="5" t="n">
        <v>4071073</v>
      </c>
    </row>
    <row r="11" ht="30" customHeight="1"/>
    <row r="12" ht="30" customHeight="1"/>
    <row r="13" ht="30" customHeight="1">
      <c r="B13" s="6" t="inlineStr">
        <is>
          <t>Cliente con excelente historial — confirmar pequeñas diferencias por ajuste UF.</t>
        </is>
      </c>
    </row>
    <row r="15" ht="18" customHeight="1">
      <c r="B15" s="7" t="inlineStr">
        <is>
          <t>Facturado a la fecha</t>
        </is>
      </c>
      <c r="E15" s="7" t="inlineStr">
        <is>
          <t>Total recibido</t>
        </is>
      </c>
      <c r="H15" s="7" t="inlineStr">
        <is>
          <t>Cumplimiento</t>
        </is>
      </c>
    </row>
    <row r="16" ht="36" customHeight="1">
      <c r="B16" s="8" t="n">
        <v>37247297</v>
      </c>
      <c r="E16" s="9" t="n">
        <v>33176224</v>
      </c>
      <c r="H16" s="10" t="n">
        <v>0.8907015185558297</v>
      </c>
    </row>
    <row r="18" ht="28" customHeight="1">
      <c r="B18" s="11" t="inlineStr">
        <is>
          <t>¿DE DÓNDE VIENE LA DEUDA?</t>
        </is>
      </c>
    </row>
    <row r="19" ht="24" customHeight="1">
      <c r="B19" s="12" t="inlineStr">
        <is>
          <t>Mes</t>
        </is>
      </c>
      <c r="D19" s="12" t="inlineStr">
        <is>
          <t>Descripción</t>
        </is>
      </c>
      <c r="F19" s="13" t="inlineStr">
        <is>
          <t>Facturado</t>
        </is>
      </c>
      <c r="G19" s="13" t="inlineStr">
        <is>
          <t>Pagado</t>
        </is>
      </c>
      <c r="H19" s="13" t="inlineStr">
        <is>
          <t>Deuda</t>
        </is>
      </c>
      <c r="I19" s="13" t="inlineStr">
        <is>
          <t>% del total</t>
        </is>
      </c>
    </row>
    <row r="20" ht="22" customHeight="1">
      <c r="B20" s="14" t="inlineStr">
        <is>
          <t>2025-02</t>
        </is>
      </c>
      <c r="C20" s="15" t="n"/>
      <c r="D20" s="16" t="inlineStr">
        <is>
          <t>F1 · Renta cuota 1/48</t>
        </is>
      </c>
      <c r="E20" s="15" t="n"/>
      <c r="F20" s="17" t="n">
        <v>3800684</v>
      </c>
      <c r="G20" s="17" t="n">
        <v>3700000</v>
      </c>
      <c r="H20" s="18" t="n">
        <v>100684</v>
      </c>
      <c r="I20" s="19" t="n">
        <v>0.02473156339864208</v>
      </c>
      <c r="J20" s="15" t="n"/>
    </row>
    <row r="21" ht="22" customHeight="1">
      <c r="B21" s="20" t="inlineStr">
        <is>
          <t>2025-03</t>
        </is>
      </c>
      <c r="C21" s="21" t="n"/>
      <c r="D21" s="22" t="inlineStr">
        <is>
          <t>F1 · Renta cuota 2/48</t>
        </is>
      </c>
      <c r="E21" s="21" t="n"/>
      <c r="F21" s="23" t="n">
        <v>1179086</v>
      </c>
      <c r="G21" s="23" t="n">
        <v>1173226</v>
      </c>
      <c r="H21" s="24" t="n">
        <v>5860</v>
      </c>
      <c r="I21" s="25" t="n">
        <v>0.001439423955306132</v>
      </c>
      <c r="J21" s="21" t="n"/>
    </row>
    <row r="22" ht="22" customHeight="1">
      <c r="B22" s="14" t="inlineStr">
        <is>
          <t>2025-04</t>
        </is>
      </c>
      <c r="C22" s="15" t="n"/>
      <c r="D22" s="16" t="inlineStr">
        <is>
          <t>F1 · Renta cuota 3/48</t>
        </is>
      </c>
      <c r="E22" s="15" t="n"/>
      <c r="F22" s="17" t="n">
        <v>1189264</v>
      </c>
      <c r="G22" s="17" t="n">
        <v>1173226</v>
      </c>
      <c r="H22" s="18" t="n">
        <v>16038</v>
      </c>
      <c r="I22" s="19" t="n">
        <v>0.003939501944573335</v>
      </c>
      <c r="J22" s="15" t="n"/>
    </row>
    <row r="23" ht="22" customHeight="1">
      <c r="B23" s="20" t="inlineStr">
        <is>
          <t>2025-05</t>
        </is>
      </c>
      <c r="C23" s="21" t="n"/>
      <c r="D23" s="22" t="inlineStr">
        <is>
          <t>F1 · Renta cuota 4/48</t>
        </is>
      </c>
      <c r="E23" s="21" t="n"/>
      <c r="F23" s="23" t="n">
        <v>1194575</v>
      </c>
      <c r="G23" s="23" t="n">
        <v>1173226</v>
      </c>
      <c r="H23" s="24" t="n">
        <v>21349</v>
      </c>
      <c r="I23" s="25" t="n">
        <v>0.005244072017377237</v>
      </c>
      <c r="J23" s="21" t="n"/>
    </row>
    <row r="24" ht="22" customHeight="1">
      <c r="B24" s="14" t="inlineStr">
        <is>
          <t>2025-06</t>
        </is>
      </c>
      <c r="C24" s="15" t="n"/>
      <c r="D24" s="16" t="inlineStr">
        <is>
          <t>F1 · Renta cuota 5/48</t>
        </is>
      </c>
      <c r="E24" s="15" t="n"/>
      <c r="F24" s="17" t="n">
        <v>1194575</v>
      </c>
      <c r="G24" s="17" t="n">
        <v>1173226</v>
      </c>
      <c r="H24" s="18" t="n">
        <v>21349</v>
      </c>
      <c r="I24" s="19" t="n">
        <v>0.005244072017377237</v>
      </c>
      <c r="J24" s="15" t="n"/>
    </row>
    <row r="25" ht="22" customHeight="1">
      <c r="B25" s="20" t="inlineStr">
        <is>
          <t>2025-07</t>
        </is>
      </c>
      <c r="C25" s="21" t="n"/>
      <c r="D25" s="22" t="inlineStr">
        <is>
          <t>F1 · Renta cuota 6/48</t>
        </is>
      </c>
      <c r="E25" s="21" t="n"/>
      <c r="F25" s="23" t="n">
        <v>1196618</v>
      </c>
      <c r="G25" s="23" t="n">
        <v>1173226</v>
      </c>
      <c r="H25" s="24" t="n">
        <v>23392</v>
      </c>
      <c r="I25" s="25" t="n">
        <v>0.005745905317836354</v>
      </c>
      <c r="J25" s="21" t="n"/>
    </row>
    <row r="26" ht="22" customHeight="1">
      <c r="B26" s="14" t="inlineStr">
        <is>
          <t>2025-08</t>
        </is>
      </c>
      <c r="C26" s="15" t="n"/>
      <c r="D26" s="16" t="inlineStr">
        <is>
          <t>F1 · Renta cuota 7/48</t>
        </is>
      </c>
      <c r="E26" s="15" t="n"/>
      <c r="F26" s="17" t="n">
        <v>1199423</v>
      </c>
      <c r="G26" s="17" t="n">
        <v>1173226</v>
      </c>
      <c r="H26" s="18" t="n">
        <v>26197</v>
      </c>
      <c r="I26" s="19" t="n">
        <v>0.006434912859582719</v>
      </c>
      <c r="J26" s="15" t="n"/>
    </row>
    <row r="27" ht="22" customHeight="1">
      <c r="B27" s="20" t="inlineStr">
        <is>
          <t>2025-09</t>
        </is>
      </c>
      <c r="C27" s="21" t="n"/>
      <c r="D27" s="22" t="inlineStr">
        <is>
          <t>F1 · Renta cuota 8/48</t>
        </is>
      </c>
      <c r="E27" s="21" t="n"/>
      <c r="F27" s="23" t="n">
        <v>1204132</v>
      </c>
      <c r="G27" s="23" t="n">
        <v>1195356</v>
      </c>
      <c r="H27" s="24" t="n">
        <v>8776</v>
      </c>
      <c r="I27" s="25" t="n">
        <v>0.002155697036137647</v>
      </c>
      <c r="J27" s="21" t="n"/>
    </row>
    <row r="28" ht="22" customHeight="1">
      <c r="B28" s="14" t="inlineStr">
        <is>
          <t>2025-10</t>
        </is>
      </c>
      <c r="C28" s="15" t="n"/>
      <c r="D28" s="16" t="inlineStr">
        <is>
          <t>F1 · Renta cuota 9/48</t>
        </is>
      </c>
      <c r="E28" s="15" t="n"/>
      <c r="F28" s="17" t="n">
        <v>1210574</v>
      </c>
      <c r="G28" s="17" t="n">
        <v>1201962</v>
      </c>
      <c r="H28" s="18" t="n">
        <v>8612</v>
      </c>
      <c r="I28" s="19" t="n">
        <v>0.002115412816228056</v>
      </c>
      <c r="J28" s="15" t="n"/>
    </row>
    <row r="29" ht="22" customHeight="1">
      <c r="B29" s="20" t="inlineStr">
        <is>
          <t>2025-11</t>
        </is>
      </c>
      <c r="C29" s="21" t="n"/>
      <c r="D29" s="22" t="inlineStr">
        <is>
          <t>F1 · Renta cuota 10/48</t>
        </is>
      </c>
      <c r="E29" s="21" t="n"/>
      <c r="F29" s="23" t="n">
        <v>1214961</v>
      </c>
      <c r="G29" s="23" t="n">
        <v>1203818</v>
      </c>
      <c r="H29" s="24" t="n">
        <v>11143</v>
      </c>
      <c r="I29" s="25" t="n">
        <v>0.002737116234466933</v>
      </c>
      <c r="J29" s="21" t="n"/>
    </row>
    <row r="30" ht="22" customHeight="1">
      <c r="B30" s="14" t="inlineStr">
        <is>
          <t>2025-12</t>
        </is>
      </c>
      <c r="C30" s="15" t="n"/>
      <c r="D30" s="16" t="inlineStr">
        <is>
          <t>F1 · Renta cuota 11/48</t>
        </is>
      </c>
      <c r="E30" s="15" t="n"/>
      <c r="F30" s="17" t="n">
        <v>1218266</v>
      </c>
      <c r="G30" s="17" t="n">
        <v>1206772</v>
      </c>
      <c r="H30" s="18" t="n">
        <v>11494</v>
      </c>
      <c r="I30" s="19" t="n">
        <v>0.002823334290492949</v>
      </c>
      <c r="J30" s="15" t="n"/>
    </row>
    <row r="31" ht="22" customHeight="1">
      <c r="B31" s="20" t="inlineStr">
        <is>
          <t>2026-01</t>
        </is>
      </c>
      <c r="C31" s="21" t="n"/>
      <c r="D31" s="22" t="inlineStr">
        <is>
          <t>F1 · Renta cuota 12/48</t>
        </is>
      </c>
      <c r="E31" s="21" t="n"/>
      <c r="F31" s="23" t="n">
        <v>1221883</v>
      </c>
      <c r="G31" s="23" t="n">
        <v>1208171</v>
      </c>
      <c r="H31" s="24" t="n">
        <v>13712</v>
      </c>
      <c r="I31" s="25" t="n">
        <v>0.003368153801221447</v>
      </c>
      <c r="J31" s="21" t="n"/>
    </row>
    <row r="32" ht="22" customHeight="1">
      <c r="B32" s="14" t="inlineStr">
        <is>
          <t>2026-02</t>
        </is>
      </c>
      <c r="C32" s="15" t="n"/>
      <c r="D32" s="16" t="inlineStr">
        <is>
          <t>F1 · Renta cuota 13/48</t>
        </is>
      </c>
      <c r="E32" s="15" t="n"/>
      <c r="F32" s="17" t="n">
        <v>1224676</v>
      </c>
      <c r="G32" s="17" t="n">
        <v>1209451</v>
      </c>
      <c r="H32" s="18" t="n">
        <v>15225</v>
      </c>
      <c r="I32" s="19" t="n">
        <v>0.003739800293436153</v>
      </c>
      <c r="J32" s="15" t="n"/>
    </row>
    <row r="33" ht="22" customHeight="1">
      <c r="B33" s="20" t="inlineStr">
        <is>
          <t>2026-03</t>
        </is>
      </c>
      <c r="C33" s="21" t="n"/>
      <c r="D33" s="22" t="inlineStr">
        <is>
          <t>F1 · Renta cuota 14/48</t>
        </is>
      </c>
      <c r="E33" s="21" t="n"/>
      <c r="F33" s="23" t="n">
        <v>1227428</v>
      </c>
      <c r="G33" s="23" t="n">
        <v>1210029</v>
      </c>
      <c r="H33" s="24" t="n">
        <v>17399</v>
      </c>
      <c r="I33" s="25" t="n">
        <v>0.004273811842725492</v>
      </c>
      <c r="J33" s="21" t="n"/>
    </row>
    <row r="34" ht="22" customHeight="1">
      <c r="B34" s="14" t="inlineStr">
        <is>
          <t>2026-04</t>
        </is>
      </c>
      <c r="C34" s="15" t="n"/>
      <c r="D34" s="16" t="inlineStr">
        <is>
          <t>F1 · Renta cuota 15/48</t>
        </is>
      </c>
      <c r="E34" s="15" t="n"/>
      <c r="F34" s="17" t="n">
        <v>1230551</v>
      </c>
      <c r="G34" s="17" t="n">
        <v>1212798</v>
      </c>
      <c r="H34" s="18" t="n">
        <v>17753</v>
      </c>
      <c r="I34" s="19" t="n">
        <v>0.00436076680521327</v>
      </c>
      <c r="J34" s="15" t="n"/>
    </row>
    <row r="35" ht="22" customHeight="1">
      <c r="B35" s="20" t="inlineStr">
        <is>
          <t>2026-05</t>
        </is>
      </c>
      <c r="C35" s="21" t="n"/>
      <c r="D35" s="22" t="inlineStr">
        <is>
          <t>F1 · Renta cuota 16/48</t>
        </is>
      </c>
      <c r="E35" s="21" t="n"/>
      <c r="F35" s="23" t="n">
        <v>1233476</v>
      </c>
      <c r="G35" s="23" t="n">
        <v>0</v>
      </c>
      <c r="H35" s="24" t="n">
        <v>1233476</v>
      </c>
      <c r="I35" s="25" t="n">
        <v>0.302985478275629</v>
      </c>
      <c r="J35" s="21" t="n"/>
    </row>
    <row r="36" ht="22" customHeight="1">
      <c r="B36" s="14" t="inlineStr">
        <is>
          <t>2025-06</t>
        </is>
      </c>
      <c r="C36" s="15" t="n"/>
      <c r="D36" s="16" t="inlineStr">
        <is>
          <t>F2 · Renta cuota 1/48</t>
        </is>
      </c>
      <c r="E36" s="15" t="n"/>
      <c r="F36" s="17" t="n">
        <v>3311465</v>
      </c>
      <c r="G36" s="17" t="n">
        <v>3300000</v>
      </c>
      <c r="H36" s="18" t="n">
        <v>11465</v>
      </c>
      <c r="I36" s="19" t="n">
        <v>0.002816210861362594</v>
      </c>
      <c r="J36" s="15" t="n"/>
    </row>
    <row r="37" ht="22" customHeight="1">
      <c r="B37" s="20" t="inlineStr">
        <is>
          <t>2025-07</t>
        </is>
      </c>
      <c r="C37" s="21" t="n"/>
      <c r="D37" s="22" t="inlineStr">
        <is>
          <t>F2 · Renta cuota 2/48</t>
        </is>
      </c>
      <c r="E37" s="21" t="n"/>
      <c r="F37" s="23" t="n">
        <v>1072652</v>
      </c>
      <c r="G37" s="23" t="n">
        <v>1070839</v>
      </c>
      <c r="H37" s="24" t="n">
        <v>1813</v>
      </c>
      <c r="I37" s="25" t="n">
        <v>0.0004453371383907879</v>
      </c>
      <c r="J37" s="21" t="n"/>
    </row>
    <row r="38" ht="22" customHeight="1">
      <c r="B38" s="14" t="inlineStr">
        <is>
          <t>2025-08</t>
        </is>
      </c>
      <c r="C38" s="15" t="n"/>
      <c r="D38" s="16" t="inlineStr">
        <is>
          <t>F2 · Renta cuota 3/48</t>
        </is>
      </c>
      <c r="E38" s="15" t="n"/>
      <c r="F38" s="17" t="n">
        <v>1075167</v>
      </c>
      <c r="G38" s="17" t="n">
        <v>1070839</v>
      </c>
      <c r="H38" s="18" t="n">
        <v>4328</v>
      </c>
      <c r="I38" s="19" t="n">
        <v>0.001063110388833607</v>
      </c>
      <c r="J38" s="15" t="n"/>
    </row>
    <row r="39" ht="22" customHeight="1">
      <c r="B39" s="20" t="inlineStr">
        <is>
          <t>2025-09</t>
        </is>
      </c>
      <c r="C39" s="21" t="n"/>
      <c r="D39" s="22" t="inlineStr">
        <is>
          <t>F2 · Renta cuota 4/48</t>
        </is>
      </c>
      <c r="E39" s="21" t="n"/>
      <c r="F39" s="23" t="n">
        <v>1079388</v>
      </c>
      <c r="G39" s="23" t="n">
        <v>1071521</v>
      </c>
      <c r="H39" s="24" t="n">
        <v>7867</v>
      </c>
      <c r="I39" s="25" t="n">
        <v>0.001932414378224119</v>
      </c>
      <c r="J39" s="21" t="n"/>
    </row>
    <row r="40" ht="22" customHeight="1">
      <c r="B40" s="14" t="inlineStr">
        <is>
          <t>2025-10</t>
        </is>
      </c>
      <c r="C40" s="15" t="n"/>
      <c r="D40" s="16" t="inlineStr">
        <is>
          <t>F2 · Renta cuota 5/48</t>
        </is>
      </c>
      <c r="E40" s="15" t="n"/>
      <c r="F40" s="17" t="n">
        <v>1085163</v>
      </c>
      <c r="G40" s="17" t="n">
        <v>892308</v>
      </c>
      <c r="H40" s="18" t="n">
        <v>192855</v>
      </c>
      <c r="I40" s="19" t="n">
        <v>0.04737203189429421</v>
      </c>
      <c r="J40" s="15" t="n"/>
    </row>
    <row r="41" ht="22" customHeight="1">
      <c r="B41" s="20" t="inlineStr">
        <is>
          <t>2025-11</t>
        </is>
      </c>
      <c r="C41" s="21" t="n"/>
      <c r="D41" s="22" t="inlineStr">
        <is>
          <t>F2 · Renta cuota 6/48</t>
        </is>
      </c>
      <c r="E41" s="21" t="n"/>
      <c r="F41" s="23" t="n">
        <v>1089095</v>
      </c>
      <c r="G41" s="23" t="n">
        <v>893688</v>
      </c>
      <c r="H41" s="24" t="n">
        <v>195407</v>
      </c>
      <c r="I41" s="25" t="n">
        <v>0.04799889365776541</v>
      </c>
      <c r="J41" s="21" t="n"/>
    </row>
    <row r="42" ht="22" customHeight="1">
      <c r="B42" s="14" t="inlineStr">
        <is>
          <t>2025-12</t>
        </is>
      </c>
      <c r="C42" s="15" t="n"/>
      <c r="D42" s="16" t="inlineStr">
        <is>
          <t>F2 · Renta cuota 7/48</t>
        </is>
      </c>
      <c r="E42" s="15" t="n"/>
      <c r="F42" s="17" t="n">
        <v>1092058</v>
      </c>
      <c r="G42" s="17" t="n">
        <v>895880</v>
      </c>
      <c r="H42" s="18" t="n">
        <v>196178</v>
      </c>
      <c r="I42" s="19" t="n">
        <v>0.04818827861843794</v>
      </c>
      <c r="J42" s="15" t="n"/>
    </row>
    <row r="43" ht="22" customHeight="1">
      <c r="B43" s="20" t="inlineStr">
        <is>
          <t>2026-01</t>
        </is>
      </c>
      <c r="C43" s="21" t="n"/>
      <c r="D43" s="22" t="inlineStr">
        <is>
          <t>F2 · Renta cuota 8/48</t>
        </is>
      </c>
      <c r="E43" s="21" t="n"/>
      <c r="F43" s="23" t="n">
        <v>1095300</v>
      </c>
      <c r="G43" s="23" t="n">
        <v>896918</v>
      </c>
      <c r="H43" s="24" t="n">
        <v>198382</v>
      </c>
      <c r="I43" s="25" t="n">
        <v>0.04872965923234489</v>
      </c>
      <c r="J43" s="21" t="n"/>
    </row>
    <row r="44" ht="22" customHeight="1">
      <c r="B44" s="14" t="inlineStr">
        <is>
          <t>2026-02</t>
        </is>
      </c>
      <c r="C44" s="15" t="n"/>
      <c r="D44" s="16" t="inlineStr">
        <is>
          <t>F2 · Renta cuota 9/48</t>
        </is>
      </c>
      <c r="E44" s="15" t="n"/>
      <c r="F44" s="17" t="n">
        <v>1097803</v>
      </c>
      <c r="G44" s="17" t="n">
        <v>897868</v>
      </c>
      <c r="H44" s="18" t="n">
        <v>199935</v>
      </c>
      <c r="I44" s="19" t="n">
        <v>0.04911113114404974</v>
      </c>
      <c r="J44" s="15" t="n"/>
    </row>
    <row r="45" ht="22" customHeight="1">
      <c r="B45" s="20" t="inlineStr">
        <is>
          <t>2026-03</t>
        </is>
      </c>
      <c r="C45" s="21" t="n"/>
      <c r="D45" s="22" t="inlineStr">
        <is>
          <t>F2 · Renta cuota 10/48</t>
        </is>
      </c>
      <c r="E45" s="21" t="n"/>
      <c r="F45" s="23" t="n">
        <v>1100271</v>
      </c>
      <c r="G45" s="23" t="n">
        <v>898296</v>
      </c>
      <c r="H45" s="24" t="n">
        <v>201975</v>
      </c>
      <c r="I45" s="25" t="n">
        <v>0.04961222753804709</v>
      </c>
      <c r="J45" s="21" t="n"/>
    </row>
    <row r="46" ht="22" customHeight="1">
      <c r="B46" s="14" t="inlineStr">
        <is>
          <t>2026-04</t>
        </is>
      </c>
      <c r="C46" s="15" t="n"/>
      <c r="D46" s="16" t="inlineStr">
        <is>
          <t>F2 · Renta cuota 11/48</t>
        </is>
      </c>
      <c r="E46" s="15" t="n"/>
      <c r="F46" s="17" t="n">
        <v>1103070</v>
      </c>
      <c r="G46" s="17" t="n">
        <v>900354</v>
      </c>
      <c r="H46" s="18" t="n">
        <v>202716</v>
      </c>
      <c r="I46" s="19" t="n">
        <v>0.04979424343410202</v>
      </c>
      <c r="J46" s="15" t="n"/>
    </row>
    <row r="47" ht="22" customHeight="1">
      <c r="B47" s="20" t="inlineStr">
        <is>
          <t>2026-05</t>
        </is>
      </c>
      <c r="C47" s="21" t="n"/>
      <c r="D47" s="22" t="inlineStr">
        <is>
          <t>F2 · Renta cuota 12/48</t>
        </is>
      </c>
      <c r="E47" s="21" t="n"/>
      <c r="F47" s="23" t="n">
        <v>1105693</v>
      </c>
      <c r="G47" s="23" t="n">
        <v>0</v>
      </c>
      <c r="H47" s="24" t="n">
        <v>1105693</v>
      </c>
      <c r="I47" s="25" t="n">
        <v>0.2715974388079015</v>
      </c>
      <c r="J47" s="21" t="n"/>
    </row>
    <row r="48" ht="26" customHeight="1">
      <c r="B48" s="26" t="inlineStr">
        <is>
          <t>TOTAL DEUDA</t>
        </is>
      </c>
      <c r="F48" s="27" t="n"/>
      <c r="G48" s="27" t="n"/>
      <c r="H48" s="28">
        <f>SUM(H20:H47)</f>
        <v/>
      </c>
      <c r="I48" s="29" t="n">
        <v>1</v>
      </c>
      <c r="J48" s="27" t="n"/>
    </row>
    <row r="51" ht="28" customHeight="1">
      <c r="B51" s="11" t="inlineStr">
        <is>
          <t>CÓMO REGULARIZAR — DATOS PARA TRANSFERENCIA</t>
        </is>
      </c>
    </row>
    <row r="52" ht="30" customHeight="1">
      <c r="B52" s="30" t="inlineStr">
        <is>
          <t>Banco</t>
        </is>
      </c>
      <c r="C52" s="15" t="n"/>
      <c r="D52" s="15" t="n"/>
      <c r="E52" s="31" t="inlineStr">
        <is>
          <t>Santander</t>
        </is>
      </c>
      <c r="F52" s="15" t="n"/>
      <c r="G52" s="15" t="n"/>
      <c r="H52" s="15" t="n"/>
      <c r="I52" s="15" t="n"/>
      <c r="J52" s="15" t="n"/>
    </row>
    <row r="53" ht="30" customHeight="1">
      <c r="B53" s="30" t="inlineStr">
        <is>
          <t>Titular</t>
        </is>
      </c>
      <c r="C53" s="15" t="n"/>
      <c r="D53" s="15" t="n"/>
      <c r="E53" s="31" t="inlineStr">
        <is>
          <t>Climate Smart Leasing SpA</t>
        </is>
      </c>
      <c r="F53" s="15" t="n"/>
      <c r="G53" s="15" t="n"/>
      <c r="H53" s="15" t="n"/>
      <c r="I53" s="15" t="n"/>
      <c r="J53" s="15" t="n"/>
    </row>
    <row r="54" ht="30" customHeight="1">
      <c r="B54" s="30" t="inlineStr">
        <is>
          <t>RUT</t>
        </is>
      </c>
      <c r="C54" s="15" t="n"/>
      <c r="D54" s="15" t="n"/>
      <c r="E54" s="31" t="inlineStr">
        <is>
          <t>77.620.301-4</t>
        </is>
      </c>
      <c r="F54" s="15" t="n"/>
      <c r="G54" s="15" t="n"/>
      <c r="H54" s="15" t="n"/>
      <c r="I54" s="15" t="n"/>
      <c r="J54" s="15" t="n"/>
    </row>
    <row r="55" ht="30" customHeight="1">
      <c r="B55" s="30" t="inlineStr">
        <is>
          <t>Tipo de cuenta</t>
        </is>
      </c>
      <c r="C55" s="15" t="n"/>
      <c r="D55" s="15" t="n"/>
      <c r="E55" s="31" t="inlineStr">
        <is>
          <t>Cuenta corriente</t>
        </is>
      </c>
      <c r="F55" s="15" t="n"/>
      <c r="G55" s="15" t="n"/>
      <c r="H55" s="15" t="n"/>
      <c r="I55" s="15" t="n"/>
      <c r="J55" s="15" t="n"/>
    </row>
    <row r="56" ht="30" customHeight="1">
      <c r="B56" s="30" t="inlineStr">
        <is>
          <t>N° de cuenta</t>
        </is>
      </c>
      <c r="C56" s="15" t="n"/>
      <c r="D56" s="15" t="n"/>
      <c r="E56" s="31" t="inlineStr">
        <is>
          <t>9427891-0</t>
        </is>
      </c>
      <c r="F56" s="15" t="n"/>
      <c r="G56" s="15" t="n"/>
      <c r="H56" s="15" t="n"/>
      <c r="I56" s="15" t="n"/>
      <c r="J56" s="15" t="n"/>
    </row>
    <row r="57" ht="30" customHeight="1">
      <c r="B57" s="30" t="inlineStr">
        <is>
          <t>Email confirmación</t>
        </is>
      </c>
      <c r="C57" s="15" t="n"/>
      <c r="D57" s="15" t="n"/>
      <c r="E57" s="31" t="inlineStr">
        <is>
          <t>nikolasromero@climatesmartleasing.com</t>
        </is>
      </c>
      <c r="F57" s="15" t="n"/>
      <c r="G57" s="15" t="n"/>
      <c r="H57" s="15" t="n"/>
      <c r="I57" s="15" t="n"/>
      <c r="J57" s="15" t="n"/>
    </row>
    <row r="60" ht="24" customHeight="1">
      <c r="B60" s="32" t="inlineStr">
        <is>
          <t>Documento conciliado contra los movimientos de la cuenta Santander N° 9427891-0 · Emitido el 26 de mayo de 2026</t>
        </is>
      </c>
    </row>
    <row r="61" ht="18" customHeight="1">
      <c r="B61" s="33" t="inlineStr">
        <is>
          <t>Climate Smart Leasing SpA · Avenida Chacabuco 485, Of. 302, Concepción · RUT 77.620.301-4</t>
        </is>
      </c>
    </row>
  </sheetData>
  <mergeCells count="117">
    <mergeCell ref="D20:E20"/>
    <mergeCell ref="B61:J61"/>
    <mergeCell ref="B57:D57"/>
    <mergeCell ref="B22:C22"/>
    <mergeCell ref="D22:E22"/>
    <mergeCell ref="B31:C31"/>
    <mergeCell ref="B53:D53"/>
    <mergeCell ref="D36:E36"/>
    <mergeCell ref="D31:E31"/>
    <mergeCell ref="E15:G15"/>
    <mergeCell ref="B13:J13"/>
    <mergeCell ref="I26:J26"/>
    <mergeCell ref="D45:E45"/>
    <mergeCell ref="B21:C21"/>
    <mergeCell ref="D44:E44"/>
    <mergeCell ref="I25:J25"/>
    <mergeCell ref="E16:G16"/>
    <mergeCell ref="B38:C38"/>
    <mergeCell ref="B51:J51"/>
    <mergeCell ref="I42:J42"/>
    <mergeCell ref="B40:C40"/>
    <mergeCell ref="B54:D54"/>
    <mergeCell ref="I44:J44"/>
    <mergeCell ref="B24:C24"/>
    <mergeCell ref="I20:J20"/>
    <mergeCell ref="D24:E24"/>
    <mergeCell ref="B33:C33"/>
    <mergeCell ref="D33:E33"/>
    <mergeCell ref="B56:D56"/>
    <mergeCell ref="B18:J18"/>
    <mergeCell ref="B32:C32"/>
    <mergeCell ref="B26:C26"/>
    <mergeCell ref="B41:C41"/>
    <mergeCell ref="D26:E26"/>
    <mergeCell ref="B35:C35"/>
    <mergeCell ref="D35:E35"/>
    <mergeCell ref="I30:J30"/>
    <mergeCell ref="B25:C25"/>
    <mergeCell ref="D19:E19"/>
    <mergeCell ref="D34:E34"/>
    <mergeCell ref="I46:J46"/>
    <mergeCell ref="B27:C27"/>
    <mergeCell ref="B4:J5"/>
    <mergeCell ref="H16:J16"/>
    <mergeCell ref="I32:J32"/>
    <mergeCell ref="I41:J41"/>
    <mergeCell ref="I43:J43"/>
    <mergeCell ref="D47:E47"/>
    <mergeCell ref="B29:C29"/>
    <mergeCell ref="I24:J24"/>
    <mergeCell ref="B37:C37"/>
    <mergeCell ref="I33:J33"/>
    <mergeCell ref="D37:E37"/>
    <mergeCell ref="D39:E39"/>
    <mergeCell ref="I35:J35"/>
    <mergeCell ref="D29:E29"/>
    <mergeCell ref="I19:J19"/>
    <mergeCell ref="D23:E23"/>
    <mergeCell ref="D38:E38"/>
    <mergeCell ref="B60:J60"/>
    <mergeCell ref="I45:J45"/>
    <mergeCell ref="B10:J12"/>
    <mergeCell ref="B43:C43"/>
    <mergeCell ref="I47:J47"/>
    <mergeCell ref="D27:E27"/>
    <mergeCell ref="B42:C42"/>
    <mergeCell ref="B9:J9"/>
    <mergeCell ref="I37:J37"/>
    <mergeCell ref="H15:J15"/>
    <mergeCell ref="I21:J21"/>
    <mergeCell ref="B44:C44"/>
    <mergeCell ref="B19:C19"/>
    <mergeCell ref="B34:C34"/>
    <mergeCell ref="B28:C28"/>
    <mergeCell ref="E53:J53"/>
    <mergeCell ref="D28:E28"/>
    <mergeCell ref="I23:J23"/>
    <mergeCell ref="D25:E25"/>
    <mergeCell ref="B30:C30"/>
    <mergeCell ref="E55:J55"/>
    <mergeCell ref="D30:E30"/>
    <mergeCell ref="E52:J52"/>
    <mergeCell ref="B20:C20"/>
    <mergeCell ref="B6:J7"/>
    <mergeCell ref="B45:C45"/>
    <mergeCell ref="I34:J34"/>
    <mergeCell ref="B47:C47"/>
    <mergeCell ref="B46:C46"/>
    <mergeCell ref="I27:J27"/>
    <mergeCell ref="D46:E46"/>
    <mergeCell ref="I36:J36"/>
    <mergeCell ref="D40:E40"/>
    <mergeCell ref="D21:E21"/>
    <mergeCell ref="B39:C39"/>
    <mergeCell ref="B23:C23"/>
    <mergeCell ref="D32:E32"/>
    <mergeCell ref="I22:J22"/>
    <mergeCell ref="I28:J28"/>
    <mergeCell ref="B15:D15"/>
    <mergeCell ref="D41:E41"/>
    <mergeCell ref="B55:D55"/>
    <mergeCell ref="E57:J57"/>
    <mergeCell ref="E54:J54"/>
    <mergeCell ref="B2:J3"/>
    <mergeCell ref="D43:E43"/>
    <mergeCell ref="B48:E48"/>
    <mergeCell ref="E56:J56"/>
    <mergeCell ref="I39:J39"/>
    <mergeCell ref="I48:J48"/>
    <mergeCell ref="B16:D16"/>
    <mergeCell ref="I29:J29"/>
    <mergeCell ref="I38:J38"/>
    <mergeCell ref="D42:E42"/>
    <mergeCell ref="B36:C36"/>
    <mergeCell ref="B52:D52"/>
    <mergeCell ref="I31:J31"/>
    <mergeCell ref="I40:J40"/>
  </mergeCells>
  <pageMargins left="0.4" right="0.4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H54"/>
  <sheetViews>
    <sheetView showGridLines="0" showRowColHeader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22" customWidth="1" min="3" max="3"/>
    <col width="14" customWidth="1" min="4" max="4"/>
    <col width="14" customWidth="1" min="5" max="5"/>
    <col width="14" customWidth="1" min="6" max="6"/>
    <col width="11" customWidth="1" min="7" max="7"/>
    <col width="32" customWidth="1" min="8" max="8"/>
    <col width="2" customWidth="1" min="9" max="9"/>
  </cols>
  <sheetData>
    <row r="2" ht="32" customHeight="1">
      <c r="B2" s="34" t="inlineStr">
        <is>
          <t>FLOTA VOLVO EX30 PLUS (F1) — 48 CUOTAS</t>
        </is>
      </c>
    </row>
    <row r="3" ht="20" customHeight="1">
      <c r="B3" s="35" t="inlineStr">
        <is>
          <t>48 cuotas en total · Las cuotas pasadas muestran el pago real recibido · Las cuotas futuras son proyectadas</t>
        </is>
      </c>
    </row>
    <row r="5" ht="24" customHeight="1">
      <c r="B5" s="12" t="inlineStr">
        <is>
          <t>Mes</t>
        </is>
      </c>
      <c r="C5" s="12" t="inlineStr">
        <is>
          <t>Concepto</t>
        </is>
      </c>
      <c r="D5" s="13" t="inlineStr">
        <is>
          <t>Facturado</t>
        </is>
      </c>
      <c r="E5" s="13" t="inlineStr">
        <is>
          <t>Pagado</t>
        </is>
      </c>
      <c r="F5" s="13" t="inlineStr">
        <is>
          <t>Deuda</t>
        </is>
      </c>
      <c r="G5" s="36" t="inlineStr">
        <is>
          <t>Estado</t>
        </is>
      </c>
      <c r="H5" s="12" t="inlineStr">
        <is>
          <t>Observación</t>
        </is>
      </c>
    </row>
    <row r="6" ht="22" customHeight="1">
      <c r="B6" s="14" t="inlineStr">
        <is>
          <t>2025-02</t>
        </is>
      </c>
      <c r="C6" s="16" t="inlineStr">
        <is>
          <t>Renta cuota 1/48</t>
        </is>
      </c>
      <c r="D6" s="17" t="n">
        <v>3800684</v>
      </c>
      <c r="E6" s="37" t="n">
        <v>3700000</v>
      </c>
      <c r="F6" s="18">
        <f>D6-IF(ISNUMBER(E6),E6,0)</f>
        <v/>
      </c>
      <c r="G6" s="38" t="inlineStr">
        <is>
          <t>Parcial</t>
        </is>
      </c>
      <c r="H6" s="39" t="inlineStr">
        <is>
          <t>1ª renta 82,86 UF (recibida en ene-25: $600k + $3,1M)</t>
        </is>
      </c>
    </row>
    <row r="7" ht="22" customHeight="1">
      <c r="B7" s="20" t="inlineStr">
        <is>
          <t>2025-03</t>
        </is>
      </c>
      <c r="C7" s="22" t="inlineStr">
        <is>
          <t>Renta cuota 2/48</t>
        </is>
      </c>
      <c r="D7" s="23" t="n">
        <v>1179086</v>
      </c>
      <c r="E7" s="40" t="n">
        <v>1173226</v>
      </c>
      <c r="F7" s="24">
        <f>D7-IF(ISNUMBER(E7),E7,0)</f>
        <v/>
      </c>
      <c r="G7" s="41" t="inlineStr">
        <is>
          <t>Pagada</t>
        </is>
      </c>
      <c r="H7" s="42" t="inlineStr">
        <is>
          <t>Pagada 07-mar-2025</t>
        </is>
      </c>
    </row>
    <row r="8" ht="22" customHeight="1">
      <c r="B8" s="14" t="inlineStr">
        <is>
          <t>2025-04</t>
        </is>
      </c>
      <c r="C8" s="16" t="inlineStr">
        <is>
          <t>Renta cuota 3/48</t>
        </is>
      </c>
      <c r="D8" s="17" t="n">
        <v>1189264</v>
      </c>
      <c r="E8" s="37" t="n">
        <v>1173226</v>
      </c>
      <c r="F8" s="18">
        <f>D8-IF(ISNUMBER(E8),E8,0)</f>
        <v/>
      </c>
      <c r="G8" s="43" t="inlineStr">
        <is>
          <t>Pagada</t>
        </is>
      </c>
      <c r="H8" s="39" t="inlineStr">
        <is>
          <t>Pagada 17-abr-2025</t>
        </is>
      </c>
    </row>
    <row r="9" ht="22" customHeight="1">
      <c r="B9" s="20" t="inlineStr">
        <is>
          <t>2025-05</t>
        </is>
      </c>
      <c r="C9" s="22" t="inlineStr">
        <is>
          <t>Renta cuota 4/48</t>
        </is>
      </c>
      <c r="D9" s="23" t="n">
        <v>1194575</v>
      </c>
      <c r="E9" s="40" t="n">
        <v>1173226</v>
      </c>
      <c r="F9" s="24">
        <f>D9-IF(ISNUMBER(E9),E9,0)</f>
        <v/>
      </c>
      <c r="G9" s="41" t="inlineStr">
        <is>
          <t>Pagada</t>
        </is>
      </c>
      <c r="H9" s="42" t="inlineStr">
        <is>
          <t>Pagada 05-may-2025</t>
        </is>
      </c>
    </row>
    <row r="10" ht="22" customHeight="1">
      <c r="B10" s="14" t="inlineStr">
        <is>
          <t>2025-06</t>
        </is>
      </c>
      <c r="C10" s="16" t="inlineStr">
        <is>
          <t>Renta cuota 5/48</t>
        </is>
      </c>
      <c r="D10" s="17" t="n">
        <v>1194575</v>
      </c>
      <c r="E10" s="37" t="n">
        <v>1173226</v>
      </c>
      <c r="F10" s="18">
        <f>D10-IF(ISNUMBER(E10),E10,0)</f>
        <v/>
      </c>
      <c r="G10" s="43" t="inlineStr">
        <is>
          <t>Pagada</t>
        </is>
      </c>
      <c r="H10" s="39" t="inlineStr">
        <is>
          <t>Pagada 16-jun-2025</t>
        </is>
      </c>
    </row>
    <row r="11" ht="22" customHeight="1">
      <c r="B11" s="20" t="inlineStr">
        <is>
          <t>2025-07</t>
        </is>
      </c>
      <c r="C11" s="22" t="inlineStr">
        <is>
          <t>Renta cuota 6/48</t>
        </is>
      </c>
      <c r="D11" s="23" t="n">
        <v>1196618</v>
      </c>
      <c r="E11" s="40" t="n">
        <v>1173226</v>
      </c>
      <c r="F11" s="24">
        <f>D11-IF(ISNUMBER(E11),E11,0)</f>
        <v/>
      </c>
      <c r="G11" s="41" t="inlineStr">
        <is>
          <t>Pagada</t>
        </is>
      </c>
      <c r="H11" s="42" t="inlineStr">
        <is>
          <t>Pagada 17-jul-2025</t>
        </is>
      </c>
    </row>
    <row r="12" ht="22" customHeight="1">
      <c r="B12" s="14" t="inlineStr">
        <is>
          <t>2025-08</t>
        </is>
      </c>
      <c r="C12" s="16" t="inlineStr">
        <is>
          <t>Renta cuota 7/48</t>
        </is>
      </c>
      <c r="D12" s="17" t="n">
        <v>1199423</v>
      </c>
      <c r="E12" s="37" t="n">
        <v>1173226</v>
      </c>
      <c r="F12" s="18">
        <f>D12-IF(ISNUMBER(E12),E12,0)</f>
        <v/>
      </c>
      <c r="G12" s="38" t="inlineStr">
        <is>
          <t>Parcial</t>
        </is>
      </c>
      <c r="H12" s="39" t="inlineStr">
        <is>
          <t>Pagada 18-ago-2025</t>
        </is>
      </c>
    </row>
    <row r="13" ht="22" customHeight="1">
      <c r="B13" s="20" t="inlineStr">
        <is>
          <t>2025-09</t>
        </is>
      </c>
      <c r="C13" s="22" t="inlineStr">
        <is>
          <t>Renta cuota 8/48</t>
        </is>
      </c>
      <c r="D13" s="23" t="n">
        <v>1204132</v>
      </c>
      <c r="E13" s="40" t="n">
        <v>1195356</v>
      </c>
      <c r="F13" s="24">
        <f>D13-IF(ISNUMBER(E13),E13,0)</f>
        <v/>
      </c>
      <c r="G13" s="41" t="inlineStr">
        <is>
          <t>Pagada</t>
        </is>
      </c>
      <c r="H13" s="42" t="inlineStr">
        <is>
          <t>Pagada 22-sep-2025</t>
        </is>
      </c>
    </row>
    <row r="14" ht="22" customHeight="1">
      <c r="B14" s="14" t="inlineStr">
        <is>
          <t>2025-10</t>
        </is>
      </c>
      <c r="C14" s="16" t="inlineStr">
        <is>
          <t>Renta cuota 9/48</t>
        </is>
      </c>
      <c r="D14" s="17" t="n">
        <v>1210574</v>
      </c>
      <c r="E14" s="37" t="n">
        <v>1201962</v>
      </c>
      <c r="F14" s="18">
        <f>D14-IF(ISNUMBER(E14),E14,0)</f>
        <v/>
      </c>
      <c r="G14" s="43" t="inlineStr">
        <is>
          <t>Pagada</t>
        </is>
      </c>
      <c r="H14" s="39" t="inlineStr">
        <is>
          <t>Pagada 13-oct-2025</t>
        </is>
      </c>
    </row>
    <row r="15" ht="22" customHeight="1">
      <c r="B15" s="20" t="inlineStr">
        <is>
          <t>2025-11</t>
        </is>
      </c>
      <c r="C15" s="22" t="inlineStr">
        <is>
          <t>Renta cuota 10/48</t>
        </is>
      </c>
      <c r="D15" s="23" t="n">
        <v>1214961</v>
      </c>
      <c r="E15" s="40" t="n">
        <v>1203818</v>
      </c>
      <c r="F15" s="24">
        <f>D15-IF(ISNUMBER(E15),E15,0)</f>
        <v/>
      </c>
      <c r="G15" s="41" t="inlineStr">
        <is>
          <t>Pagada</t>
        </is>
      </c>
      <c r="H15" s="42" t="inlineStr">
        <is>
          <t>Pagada 17-nov-2025</t>
        </is>
      </c>
    </row>
    <row r="16" ht="22" customHeight="1">
      <c r="B16" s="14" t="inlineStr">
        <is>
          <t>2025-12</t>
        </is>
      </c>
      <c r="C16" s="16" t="inlineStr">
        <is>
          <t>Renta cuota 11/48</t>
        </is>
      </c>
      <c r="D16" s="17" t="n">
        <v>1218266</v>
      </c>
      <c r="E16" s="37" t="n">
        <v>1206772</v>
      </c>
      <c r="F16" s="18">
        <f>D16-IF(ISNUMBER(E16),E16,0)</f>
        <v/>
      </c>
      <c r="G16" s="43" t="inlineStr">
        <is>
          <t>Pagada</t>
        </is>
      </c>
      <c r="H16" s="39" t="inlineStr">
        <is>
          <t>Pagada 12-dic-2025</t>
        </is>
      </c>
    </row>
    <row r="17" ht="22" customHeight="1">
      <c r="B17" s="20" t="inlineStr">
        <is>
          <t>2026-01</t>
        </is>
      </c>
      <c r="C17" s="22" t="inlineStr">
        <is>
          <t>Renta cuota 12/48</t>
        </is>
      </c>
      <c r="D17" s="23" t="n">
        <v>1221883</v>
      </c>
      <c r="E17" s="40" t="n">
        <v>1208171</v>
      </c>
      <c r="F17" s="24">
        <f>D17-IF(ISNUMBER(E17),E17,0)</f>
        <v/>
      </c>
      <c r="G17" s="41" t="inlineStr">
        <is>
          <t>Pagada</t>
        </is>
      </c>
      <c r="H17" s="42" t="inlineStr">
        <is>
          <t>Pagada 27-ene-2026</t>
        </is>
      </c>
    </row>
    <row r="18" ht="22" customHeight="1">
      <c r="B18" s="14" t="inlineStr">
        <is>
          <t>2026-02</t>
        </is>
      </c>
      <c r="C18" s="16" t="inlineStr">
        <is>
          <t>Renta cuota 13/48</t>
        </is>
      </c>
      <c r="D18" s="17" t="n">
        <v>1224676</v>
      </c>
      <c r="E18" s="37" t="n">
        <v>1209451</v>
      </c>
      <c r="F18" s="18">
        <f>D18-IF(ISNUMBER(E18),E18,0)</f>
        <v/>
      </c>
      <c r="G18" s="43" t="inlineStr">
        <is>
          <t>Pagada</t>
        </is>
      </c>
      <c r="H18" s="39" t="inlineStr">
        <is>
          <t>Pagada 20-feb-2026</t>
        </is>
      </c>
    </row>
    <row r="19" ht="22" customHeight="1">
      <c r="B19" s="20" t="inlineStr">
        <is>
          <t>2026-03</t>
        </is>
      </c>
      <c r="C19" s="22" t="inlineStr">
        <is>
          <t>Renta cuota 14/48</t>
        </is>
      </c>
      <c r="D19" s="23" t="n">
        <v>1227428</v>
      </c>
      <c r="E19" s="40" t="n">
        <v>1210029</v>
      </c>
      <c r="F19" s="24">
        <f>D19-IF(ISNUMBER(E19),E19,0)</f>
        <v/>
      </c>
      <c r="G19" s="41" t="inlineStr">
        <is>
          <t>Pagada</t>
        </is>
      </c>
      <c r="H19" s="42" t="inlineStr">
        <is>
          <t>Pagada 23-mar-2026</t>
        </is>
      </c>
    </row>
    <row r="20" ht="22" customHeight="1">
      <c r="B20" s="14" t="inlineStr">
        <is>
          <t>2026-04</t>
        </is>
      </c>
      <c r="C20" s="16" t="inlineStr">
        <is>
          <t>Renta cuota 15/48</t>
        </is>
      </c>
      <c r="D20" s="17" t="n">
        <v>1230551</v>
      </c>
      <c r="E20" s="37" t="n">
        <v>1212798</v>
      </c>
      <c r="F20" s="18">
        <f>D20-IF(ISNUMBER(E20),E20,0)</f>
        <v/>
      </c>
      <c r="G20" s="43" t="inlineStr">
        <is>
          <t>Pagada</t>
        </is>
      </c>
      <c r="H20" s="39" t="inlineStr">
        <is>
          <t>Pagada 27-abr-2026</t>
        </is>
      </c>
    </row>
    <row r="21" ht="22" customHeight="1">
      <c r="B21" s="20" t="inlineStr">
        <is>
          <t>2026-05</t>
        </is>
      </c>
      <c r="C21" s="22" t="inlineStr">
        <is>
          <t>Renta cuota 16/48</t>
        </is>
      </c>
      <c r="D21" s="23" t="n">
        <v>1233476</v>
      </c>
      <c r="E21" s="44" t="n">
        <v>0</v>
      </c>
      <c r="F21" s="24">
        <f>D21-IF(ISNUMBER(E21),E21,0)</f>
        <v/>
      </c>
      <c r="G21" s="45" t="inlineStr">
        <is>
          <t>Pendiente</t>
        </is>
      </c>
      <c r="H21" s="42" t="inlineStr">
        <is>
          <t>Cuota del mes en curso</t>
        </is>
      </c>
    </row>
    <row r="22" ht="22" customHeight="1">
      <c r="B22" s="46" t="inlineStr">
        <is>
          <t>2026-06</t>
        </is>
      </c>
      <c r="C22" s="46" t="inlineStr">
        <is>
          <t>Renta cuota 17/48</t>
        </is>
      </c>
      <c r="D22" s="47" t="n">
        <v>1237176</v>
      </c>
      <c r="E22" s="48" t="inlineStr">
        <is>
          <t>—</t>
        </is>
      </c>
      <c r="F22" s="48" t="inlineStr">
        <is>
          <t>—</t>
        </is>
      </c>
      <c r="G22" s="49" t="inlineStr">
        <is>
          <t>Por vencer</t>
        </is>
      </c>
      <c r="H22" s="50" t="inlineStr">
        <is>
          <t>Cuota futura (proyección)</t>
        </is>
      </c>
    </row>
    <row r="23" ht="22" customHeight="1">
      <c r="B23" s="46" t="inlineStr">
        <is>
          <t>2026-07</t>
        </is>
      </c>
      <c r="C23" s="46" t="inlineStr">
        <is>
          <t>Renta cuota 18/48</t>
        </is>
      </c>
      <c r="D23" s="47" t="n">
        <v>1240888</v>
      </c>
      <c r="E23" s="48" t="inlineStr">
        <is>
          <t>—</t>
        </is>
      </c>
      <c r="F23" s="48" t="inlineStr">
        <is>
          <t>—</t>
        </is>
      </c>
      <c r="G23" s="49" t="inlineStr">
        <is>
          <t>Por vencer</t>
        </is>
      </c>
      <c r="H23" s="50" t="inlineStr">
        <is>
          <t>Cuota futura (proyección)</t>
        </is>
      </c>
    </row>
    <row r="24" ht="22" customHeight="1">
      <c r="B24" s="46" t="inlineStr">
        <is>
          <t>2026-08</t>
        </is>
      </c>
      <c r="C24" s="46" t="inlineStr">
        <is>
          <t>Renta cuota 19/48</t>
        </is>
      </c>
      <c r="D24" s="47" t="n">
        <v>1244611</v>
      </c>
      <c r="E24" s="48" t="inlineStr">
        <is>
          <t>—</t>
        </is>
      </c>
      <c r="F24" s="48" t="inlineStr">
        <is>
          <t>—</t>
        </is>
      </c>
      <c r="G24" s="49" t="inlineStr">
        <is>
          <t>Por vencer</t>
        </is>
      </c>
      <c r="H24" s="50" t="inlineStr">
        <is>
          <t>Cuota futura (proyección)</t>
        </is>
      </c>
    </row>
    <row r="25" ht="22" customHeight="1">
      <c r="B25" s="46" t="inlineStr">
        <is>
          <t>2026-09</t>
        </is>
      </c>
      <c r="C25" s="46" t="inlineStr">
        <is>
          <t>Renta cuota 20/48</t>
        </is>
      </c>
      <c r="D25" s="47" t="n">
        <v>1248344</v>
      </c>
      <c r="E25" s="48" t="inlineStr">
        <is>
          <t>—</t>
        </is>
      </c>
      <c r="F25" s="48" t="inlineStr">
        <is>
          <t>—</t>
        </is>
      </c>
      <c r="G25" s="49" t="inlineStr">
        <is>
          <t>Por vencer</t>
        </is>
      </c>
      <c r="H25" s="50" t="inlineStr">
        <is>
          <t>Cuota futura (proyección)</t>
        </is>
      </c>
    </row>
    <row r="26" ht="22" customHeight="1">
      <c r="B26" s="46" t="inlineStr">
        <is>
          <t>2026-10</t>
        </is>
      </c>
      <c r="C26" s="46" t="inlineStr">
        <is>
          <t>Renta cuota 21/48</t>
        </is>
      </c>
      <c r="D26" s="47" t="n">
        <v>1252089</v>
      </c>
      <c r="E26" s="48" t="inlineStr">
        <is>
          <t>—</t>
        </is>
      </c>
      <c r="F26" s="48" t="inlineStr">
        <is>
          <t>—</t>
        </is>
      </c>
      <c r="G26" s="49" t="inlineStr">
        <is>
          <t>Por vencer</t>
        </is>
      </c>
      <c r="H26" s="50" t="inlineStr">
        <is>
          <t>Cuota futura (proyección)</t>
        </is>
      </c>
    </row>
    <row r="27" ht="22" customHeight="1">
      <c r="B27" s="46" t="inlineStr">
        <is>
          <t>2026-11</t>
        </is>
      </c>
      <c r="C27" s="46" t="inlineStr">
        <is>
          <t>Renta cuota 22/48</t>
        </is>
      </c>
      <c r="D27" s="47" t="n">
        <v>1255846</v>
      </c>
      <c r="E27" s="48" t="inlineStr">
        <is>
          <t>—</t>
        </is>
      </c>
      <c r="F27" s="48" t="inlineStr">
        <is>
          <t>—</t>
        </is>
      </c>
      <c r="G27" s="49" t="inlineStr">
        <is>
          <t>Por vencer</t>
        </is>
      </c>
      <c r="H27" s="50" t="inlineStr">
        <is>
          <t>Cuota futura (proyección)</t>
        </is>
      </c>
    </row>
    <row r="28" ht="22" customHeight="1">
      <c r="B28" s="46" t="inlineStr">
        <is>
          <t>2026-12</t>
        </is>
      </c>
      <c r="C28" s="46" t="inlineStr">
        <is>
          <t>Renta cuota 23/48</t>
        </is>
      </c>
      <c r="D28" s="47" t="n">
        <v>1259613</v>
      </c>
      <c r="E28" s="48" t="inlineStr">
        <is>
          <t>—</t>
        </is>
      </c>
      <c r="F28" s="48" t="inlineStr">
        <is>
          <t>—</t>
        </is>
      </c>
      <c r="G28" s="49" t="inlineStr">
        <is>
          <t>Por vencer</t>
        </is>
      </c>
      <c r="H28" s="50" t="inlineStr">
        <is>
          <t>Cuota futura (proyección)</t>
        </is>
      </c>
    </row>
    <row r="29" ht="22" customHeight="1">
      <c r="B29" s="46" t="inlineStr">
        <is>
          <t>2027-01</t>
        </is>
      </c>
      <c r="C29" s="46" t="inlineStr">
        <is>
          <t>Renta cuota 24/48</t>
        </is>
      </c>
      <c r="D29" s="47" t="n">
        <v>1263392</v>
      </c>
      <c r="E29" s="48" t="inlineStr">
        <is>
          <t>—</t>
        </is>
      </c>
      <c r="F29" s="48" t="inlineStr">
        <is>
          <t>—</t>
        </is>
      </c>
      <c r="G29" s="49" t="inlineStr">
        <is>
          <t>Por vencer</t>
        </is>
      </c>
      <c r="H29" s="50" t="inlineStr">
        <is>
          <t>Cuota futura (proyección)</t>
        </is>
      </c>
    </row>
    <row r="30" ht="22" customHeight="1">
      <c r="B30" s="46" t="inlineStr">
        <is>
          <t>2027-02</t>
        </is>
      </c>
      <c r="C30" s="46" t="inlineStr">
        <is>
          <t>Renta cuota 25/48</t>
        </is>
      </c>
      <c r="D30" s="47" t="n">
        <v>1267182</v>
      </c>
      <c r="E30" s="48" t="inlineStr">
        <is>
          <t>—</t>
        </is>
      </c>
      <c r="F30" s="48" t="inlineStr">
        <is>
          <t>—</t>
        </is>
      </c>
      <c r="G30" s="49" t="inlineStr">
        <is>
          <t>Por vencer</t>
        </is>
      </c>
      <c r="H30" s="50" t="inlineStr">
        <is>
          <t>Cuota futura (proyección)</t>
        </is>
      </c>
    </row>
    <row r="31" ht="22" customHeight="1">
      <c r="B31" s="46" t="inlineStr">
        <is>
          <t>2027-03</t>
        </is>
      </c>
      <c r="C31" s="46" t="inlineStr">
        <is>
          <t>Renta cuota 26/48</t>
        </is>
      </c>
      <c r="D31" s="47" t="n">
        <v>1270984</v>
      </c>
      <c r="E31" s="48" t="inlineStr">
        <is>
          <t>—</t>
        </is>
      </c>
      <c r="F31" s="48" t="inlineStr">
        <is>
          <t>—</t>
        </is>
      </c>
      <c r="G31" s="49" t="inlineStr">
        <is>
          <t>Por vencer</t>
        </is>
      </c>
      <c r="H31" s="50" t="inlineStr">
        <is>
          <t>Cuota futura (proyección)</t>
        </is>
      </c>
    </row>
    <row r="32" ht="22" customHeight="1">
      <c r="B32" s="46" t="inlineStr">
        <is>
          <t>2027-04</t>
        </is>
      </c>
      <c r="C32" s="46" t="inlineStr">
        <is>
          <t>Renta cuota 27/48</t>
        </is>
      </c>
      <c r="D32" s="47" t="n">
        <v>1274797</v>
      </c>
      <c r="E32" s="48" t="inlineStr">
        <is>
          <t>—</t>
        </is>
      </c>
      <c r="F32" s="48" t="inlineStr">
        <is>
          <t>—</t>
        </is>
      </c>
      <c r="G32" s="49" t="inlineStr">
        <is>
          <t>Por vencer</t>
        </is>
      </c>
      <c r="H32" s="50" t="inlineStr">
        <is>
          <t>Cuota futura (proyección)</t>
        </is>
      </c>
    </row>
    <row r="33" ht="22" customHeight="1">
      <c r="B33" s="46" t="inlineStr">
        <is>
          <t>2027-05</t>
        </is>
      </c>
      <c r="C33" s="46" t="inlineStr">
        <is>
          <t>Renta cuota 28/48</t>
        </is>
      </c>
      <c r="D33" s="47" t="n">
        <v>1278621</v>
      </c>
      <c r="E33" s="48" t="inlineStr">
        <is>
          <t>—</t>
        </is>
      </c>
      <c r="F33" s="48" t="inlineStr">
        <is>
          <t>—</t>
        </is>
      </c>
      <c r="G33" s="49" t="inlineStr">
        <is>
          <t>Por vencer</t>
        </is>
      </c>
      <c r="H33" s="50" t="inlineStr">
        <is>
          <t>Cuota futura (proyección)</t>
        </is>
      </c>
    </row>
    <row r="34" ht="22" customHeight="1">
      <c r="B34" s="46" t="inlineStr">
        <is>
          <t>2027-06</t>
        </is>
      </c>
      <c r="C34" s="46" t="inlineStr">
        <is>
          <t>Renta cuota 29/48</t>
        </is>
      </c>
      <c r="D34" s="47" t="n">
        <v>1282457</v>
      </c>
      <c r="E34" s="48" t="inlineStr">
        <is>
          <t>—</t>
        </is>
      </c>
      <c r="F34" s="48" t="inlineStr">
        <is>
          <t>—</t>
        </is>
      </c>
      <c r="G34" s="49" t="inlineStr">
        <is>
          <t>Por vencer</t>
        </is>
      </c>
      <c r="H34" s="50" t="inlineStr">
        <is>
          <t>Cuota futura (proyección)</t>
        </is>
      </c>
    </row>
    <row r="35" ht="22" customHeight="1">
      <c r="B35" s="46" t="inlineStr">
        <is>
          <t>2027-07</t>
        </is>
      </c>
      <c r="C35" s="46" t="inlineStr">
        <is>
          <t>Renta cuota 30/48</t>
        </is>
      </c>
      <c r="D35" s="47" t="n">
        <v>1286304</v>
      </c>
      <c r="E35" s="48" t="inlineStr">
        <is>
          <t>—</t>
        </is>
      </c>
      <c r="F35" s="48" t="inlineStr">
        <is>
          <t>—</t>
        </is>
      </c>
      <c r="G35" s="49" t="inlineStr">
        <is>
          <t>Por vencer</t>
        </is>
      </c>
      <c r="H35" s="50" t="inlineStr">
        <is>
          <t>Cuota futura (proyección)</t>
        </is>
      </c>
    </row>
    <row r="36" ht="22" customHeight="1">
      <c r="B36" s="46" t="inlineStr">
        <is>
          <t>2027-08</t>
        </is>
      </c>
      <c r="C36" s="46" t="inlineStr">
        <is>
          <t>Renta cuota 31/48</t>
        </is>
      </c>
      <c r="D36" s="47" t="n">
        <v>1290163</v>
      </c>
      <c r="E36" s="48" t="inlineStr">
        <is>
          <t>—</t>
        </is>
      </c>
      <c r="F36" s="48" t="inlineStr">
        <is>
          <t>—</t>
        </is>
      </c>
      <c r="G36" s="49" t="inlineStr">
        <is>
          <t>Por vencer</t>
        </is>
      </c>
      <c r="H36" s="50" t="inlineStr">
        <is>
          <t>Cuota futura (proyección)</t>
        </is>
      </c>
    </row>
    <row r="37" ht="22" customHeight="1">
      <c r="B37" s="46" t="inlineStr">
        <is>
          <t>2027-09</t>
        </is>
      </c>
      <c r="C37" s="46" t="inlineStr">
        <is>
          <t>Renta cuota 32/48</t>
        </is>
      </c>
      <c r="D37" s="47" t="n">
        <v>1294034</v>
      </c>
      <c r="E37" s="48" t="inlineStr">
        <is>
          <t>—</t>
        </is>
      </c>
      <c r="F37" s="48" t="inlineStr">
        <is>
          <t>—</t>
        </is>
      </c>
      <c r="G37" s="49" t="inlineStr">
        <is>
          <t>Por vencer</t>
        </is>
      </c>
      <c r="H37" s="50" t="inlineStr">
        <is>
          <t>Cuota futura (proyección)</t>
        </is>
      </c>
    </row>
    <row r="38" ht="22" customHeight="1">
      <c r="B38" s="46" t="inlineStr">
        <is>
          <t>2027-10</t>
        </is>
      </c>
      <c r="C38" s="46" t="inlineStr">
        <is>
          <t>Renta cuota 33/48</t>
        </is>
      </c>
      <c r="D38" s="47" t="n">
        <v>1297916</v>
      </c>
      <c r="E38" s="48" t="inlineStr">
        <is>
          <t>—</t>
        </is>
      </c>
      <c r="F38" s="48" t="inlineStr">
        <is>
          <t>—</t>
        </is>
      </c>
      <c r="G38" s="49" t="inlineStr">
        <is>
          <t>Por vencer</t>
        </is>
      </c>
      <c r="H38" s="50" t="inlineStr">
        <is>
          <t>Cuota futura (proyección)</t>
        </is>
      </c>
    </row>
    <row r="39" ht="22" customHeight="1">
      <c r="B39" s="46" t="inlineStr">
        <is>
          <t>2027-11</t>
        </is>
      </c>
      <c r="C39" s="46" t="inlineStr">
        <is>
          <t>Renta cuota 34/48</t>
        </is>
      </c>
      <c r="D39" s="47" t="n">
        <v>1301810</v>
      </c>
      <c r="E39" s="48" t="inlineStr">
        <is>
          <t>—</t>
        </is>
      </c>
      <c r="F39" s="48" t="inlineStr">
        <is>
          <t>—</t>
        </is>
      </c>
      <c r="G39" s="49" t="inlineStr">
        <is>
          <t>Por vencer</t>
        </is>
      </c>
      <c r="H39" s="50" t="inlineStr">
        <is>
          <t>Cuota futura (proyección)</t>
        </is>
      </c>
    </row>
    <row r="40" ht="22" customHeight="1">
      <c r="B40" s="46" t="inlineStr">
        <is>
          <t>2027-12</t>
        </is>
      </c>
      <c r="C40" s="46" t="inlineStr">
        <is>
          <t>Renta cuota 35/48</t>
        </is>
      </c>
      <c r="D40" s="47" t="n">
        <v>1305715</v>
      </c>
      <c r="E40" s="48" t="inlineStr">
        <is>
          <t>—</t>
        </is>
      </c>
      <c r="F40" s="48" t="inlineStr">
        <is>
          <t>—</t>
        </is>
      </c>
      <c r="G40" s="49" t="inlineStr">
        <is>
          <t>Por vencer</t>
        </is>
      </c>
      <c r="H40" s="50" t="inlineStr">
        <is>
          <t>Cuota futura (proyección)</t>
        </is>
      </c>
    </row>
    <row r="41" ht="22" customHeight="1">
      <c r="B41" s="46" t="inlineStr">
        <is>
          <t>2028-01</t>
        </is>
      </c>
      <c r="C41" s="46" t="inlineStr">
        <is>
          <t>Renta cuota 36/48</t>
        </is>
      </c>
      <c r="D41" s="47" t="n">
        <v>1309632</v>
      </c>
      <c r="E41" s="48" t="inlineStr">
        <is>
          <t>—</t>
        </is>
      </c>
      <c r="F41" s="48" t="inlineStr">
        <is>
          <t>—</t>
        </is>
      </c>
      <c r="G41" s="49" t="inlineStr">
        <is>
          <t>Por vencer</t>
        </is>
      </c>
      <c r="H41" s="50" t="inlineStr">
        <is>
          <t>Cuota futura (proyección)</t>
        </is>
      </c>
    </row>
    <row r="42" ht="22" customHeight="1">
      <c r="B42" s="46" t="inlineStr">
        <is>
          <t>2028-02</t>
        </is>
      </c>
      <c r="C42" s="46" t="inlineStr">
        <is>
          <t>Renta cuota 37/48</t>
        </is>
      </c>
      <c r="D42" s="47" t="n">
        <v>1313561</v>
      </c>
      <c r="E42" s="48" t="inlineStr">
        <is>
          <t>—</t>
        </is>
      </c>
      <c r="F42" s="48" t="inlineStr">
        <is>
          <t>—</t>
        </is>
      </c>
      <c r="G42" s="49" t="inlineStr">
        <is>
          <t>Por vencer</t>
        </is>
      </c>
      <c r="H42" s="50" t="inlineStr">
        <is>
          <t>Cuota futura (proyección)</t>
        </is>
      </c>
    </row>
    <row r="43" ht="22" customHeight="1">
      <c r="B43" s="46" t="inlineStr">
        <is>
          <t>2028-03</t>
        </is>
      </c>
      <c r="C43" s="46" t="inlineStr">
        <is>
          <t>Renta cuota 38/48</t>
        </is>
      </c>
      <c r="D43" s="47" t="n">
        <v>1317502</v>
      </c>
      <c r="E43" s="48" t="inlineStr">
        <is>
          <t>—</t>
        </is>
      </c>
      <c r="F43" s="48" t="inlineStr">
        <is>
          <t>—</t>
        </is>
      </c>
      <c r="G43" s="49" t="inlineStr">
        <is>
          <t>Por vencer</t>
        </is>
      </c>
      <c r="H43" s="50" t="inlineStr">
        <is>
          <t>Cuota futura (proyección)</t>
        </is>
      </c>
    </row>
    <row r="44" ht="22" customHeight="1">
      <c r="B44" s="46" t="inlineStr">
        <is>
          <t>2028-04</t>
        </is>
      </c>
      <c r="C44" s="46" t="inlineStr">
        <is>
          <t>Renta cuota 39/48</t>
        </is>
      </c>
      <c r="D44" s="47" t="n">
        <v>1321454</v>
      </c>
      <c r="E44" s="48" t="inlineStr">
        <is>
          <t>—</t>
        </is>
      </c>
      <c r="F44" s="48" t="inlineStr">
        <is>
          <t>—</t>
        </is>
      </c>
      <c r="G44" s="49" t="inlineStr">
        <is>
          <t>Por vencer</t>
        </is>
      </c>
      <c r="H44" s="50" t="inlineStr">
        <is>
          <t>Cuota futura (proyección)</t>
        </is>
      </c>
    </row>
    <row r="45" ht="22" customHeight="1">
      <c r="B45" s="46" t="inlineStr">
        <is>
          <t>2028-05</t>
        </is>
      </c>
      <c r="C45" s="46" t="inlineStr">
        <is>
          <t>Renta cuota 40/48</t>
        </is>
      </c>
      <c r="D45" s="47" t="n">
        <v>1325419</v>
      </c>
      <c r="E45" s="48" t="inlineStr">
        <is>
          <t>—</t>
        </is>
      </c>
      <c r="F45" s="48" t="inlineStr">
        <is>
          <t>—</t>
        </is>
      </c>
      <c r="G45" s="49" t="inlineStr">
        <is>
          <t>Por vencer</t>
        </is>
      </c>
      <c r="H45" s="50" t="inlineStr">
        <is>
          <t>Cuota futura (proyección)</t>
        </is>
      </c>
    </row>
    <row r="46" ht="22" customHeight="1">
      <c r="B46" s="46" t="inlineStr">
        <is>
          <t>2028-06</t>
        </is>
      </c>
      <c r="C46" s="46" t="inlineStr">
        <is>
          <t>Renta cuota 41/48</t>
        </is>
      </c>
      <c r="D46" s="47" t="n">
        <v>1329395</v>
      </c>
      <c r="E46" s="48" t="inlineStr">
        <is>
          <t>—</t>
        </is>
      </c>
      <c r="F46" s="48" t="inlineStr">
        <is>
          <t>—</t>
        </is>
      </c>
      <c r="G46" s="49" t="inlineStr">
        <is>
          <t>Por vencer</t>
        </is>
      </c>
      <c r="H46" s="50" t="inlineStr">
        <is>
          <t>Cuota futura (proyección)</t>
        </is>
      </c>
    </row>
    <row r="47" ht="22" customHeight="1">
      <c r="B47" s="46" t="inlineStr">
        <is>
          <t>2028-07</t>
        </is>
      </c>
      <c r="C47" s="46" t="inlineStr">
        <is>
          <t>Renta cuota 42/48</t>
        </is>
      </c>
      <c r="D47" s="47" t="n">
        <v>1333383</v>
      </c>
      <c r="E47" s="48" t="inlineStr">
        <is>
          <t>—</t>
        </is>
      </c>
      <c r="F47" s="48" t="inlineStr">
        <is>
          <t>—</t>
        </is>
      </c>
      <c r="G47" s="49" t="inlineStr">
        <is>
          <t>Por vencer</t>
        </is>
      </c>
      <c r="H47" s="50" t="inlineStr">
        <is>
          <t>Cuota futura (proyección)</t>
        </is>
      </c>
    </row>
    <row r="48" ht="22" customHeight="1">
      <c r="B48" s="46" t="inlineStr">
        <is>
          <t>2028-08</t>
        </is>
      </c>
      <c r="C48" s="46" t="inlineStr">
        <is>
          <t>Renta cuota 43/48</t>
        </is>
      </c>
      <c r="D48" s="47" t="n">
        <v>1337383</v>
      </c>
      <c r="E48" s="48" t="inlineStr">
        <is>
          <t>—</t>
        </is>
      </c>
      <c r="F48" s="48" t="inlineStr">
        <is>
          <t>—</t>
        </is>
      </c>
      <c r="G48" s="49" t="inlineStr">
        <is>
          <t>Por vencer</t>
        </is>
      </c>
      <c r="H48" s="50" t="inlineStr">
        <is>
          <t>Cuota futura (proyección)</t>
        </is>
      </c>
    </row>
    <row r="49" ht="22" customHeight="1">
      <c r="B49" s="46" t="inlineStr">
        <is>
          <t>2028-09</t>
        </is>
      </c>
      <c r="C49" s="46" t="inlineStr">
        <is>
          <t>Renta cuota 44/48</t>
        </is>
      </c>
      <c r="D49" s="47" t="n">
        <v>1341395</v>
      </c>
      <c r="E49" s="48" t="inlineStr">
        <is>
          <t>—</t>
        </is>
      </c>
      <c r="F49" s="48" t="inlineStr">
        <is>
          <t>—</t>
        </is>
      </c>
      <c r="G49" s="49" t="inlineStr">
        <is>
          <t>Por vencer</t>
        </is>
      </c>
      <c r="H49" s="50" t="inlineStr">
        <is>
          <t>Cuota futura (proyección)</t>
        </is>
      </c>
    </row>
    <row r="50" ht="22" customHeight="1">
      <c r="B50" s="46" t="inlineStr">
        <is>
          <t>2028-10</t>
        </is>
      </c>
      <c r="C50" s="46" t="inlineStr">
        <is>
          <t>Renta cuota 45/48</t>
        </is>
      </c>
      <c r="D50" s="47" t="n">
        <v>1345420</v>
      </c>
      <c r="E50" s="48" t="inlineStr">
        <is>
          <t>—</t>
        </is>
      </c>
      <c r="F50" s="48" t="inlineStr">
        <is>
          <t>—</t>
        </is>
      </c>
      <c r="G50" s="49" t="inlineStr">
        <is>
          <t>Por vencer</t>
        </is>
      </c>
      <c r="H50" s="50" t="inlineStr">
        <is>
          <t>Cuota futura (proyección)</t>
        </is>
      </c>
    </row>
    <row r="51" ht="22" customHeight="1">
      <c r="B51" s="46" t="inlineStr">
        <is>
          <t>2028-11</t>
        </is>
      </c>
      <c r="C51" s="46" t="inlineStr">
        <is>
          <t>Renta cuota 46/48</t>
        </is>
      </c>
      <c r="D51" s="47" t="n">
        <v>1349456</v>
      </c>
      <c r="E51" s="48" t="inlineStr">
        <is>
          <t>—</t>
        </is>
      </c>
      <c r="F51" s="48" t="inlineStr">
        <is>
          <t>—</t>
        </is>
      </c>
      <c r="G51" s="49" t="inlineStr">
        <is>
          <t>Por vencer</t>
        </is>
      </c>
      <c r="H51" s="50" t="inlineStr">
        <is>
          <t>Cuota futura (proyección)</t>
        </is>
      </c>
    </row>
    <row r="52" ht="22" customHeight="1">
      <c r="B52" s="46" t="inlineStr">
        <is>
          <t>2028-12</t>
        </is>
      </c>
      <c r="C52" s="46" t="inlineStr">
        <is>
          <t>Renta cuota 47/48</t>
        </is>
      </c>
      <c r="D52" s="47" t="n">
        <v>1353504</v>
      </c>
      <c r="E52" s="48" t="inlineStr">
        <is>
          <t>—</t>
        </is>
      </c>
      <c r="F52" s="48" t="inlineStr">
        <is>
          <t>—</t>
        </is>
      </c>
      <c r="G52" s="49" t="inlineStr">
        <is>
          <t>Por vencer</t>
        </is>
      </c>
      <c r="H52" s="50" t="inlineStr">
        <is>
          <t>Cuota futura (proyección)</t>
        </is>
      </c>
    </row>
    <row r="53" ht="22" customHeight="1">
      <c r="B53" s="46" t="inlineStr">
        <is>
          <t>2029-01</t>
        </is>
      </c>
      <c r="C53" s="46" t="inlineStr">
        <is>
          <t>Renta cuota 48/48</t>
        </is>
      </c>
      <c r="D53" s="47" t="n">
        <v>1357565</v>
      </c>
      <c r="E53" s="48" t="inlineStr">
        <is>
          <t>—</t>
        </is>
      </c>
      <c r="F53" s="48" t="inlineStr">
        <is>
          <t>—</t>
        </is>
      </c>
      <c r="G53" s="49" t="inlineStr">
        <is>
          <t>Por vencer</t>
        </is>
      </c>
      <c r="H53" s="50" t="inlineStr">
        <is>
          <t>Cuota futura (proyección)</t>
        </is>
      </c>
    </row>
    <row r="54" ht="24" customHeight="1">
      <c r="B54" s="26" t="inlineStr">
        <is>
          <t>TOTAL</t>
        </is>
      </c>
      <c r="C54" s="51" t="inlineStr">
        <is>
          <t>48 cuotas</t>
        </is>
      </c>
      <c r="D54" s="52">
        <f>SUM(D6:D53)</f>
        <v/>
      </c>
      <c r="E54" s="52">
        <f>SUMIF(E6:E53,"&gt;0")</f>
        <v/>
      </c>
      <c r="F54" s="52">
        <f>SUMIF(F6:F53,"&gt;0")</f>
        <v/>
      </c>
      <c r="G54" s="27" t="n"/>
      <c r="H54" s="27" t="n"/>
    </row>
  </sheetData>
  <mergeCells count="2">
    <mergeCell ref="B3:H3"/>
    <mergeCell ref="B2:H2"/>
  </mergeCells>
  <pageMargins left="0.4" right="0.4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H54"/>
  <sheetViews>
    <sheetView showGridLines="0" showRowColHeader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22" customWidth="1" min="3" max="3"/>
    <col width="14" customWidth="1" min="4" max="4"/>
    <col width="14" customWidth="1" min="5" max="5"/>
    <col width="14" customWidth="1" min="6" max="6"/>
    <col width="11" customWidth="1" min="7" max="7"/>
    <col width="32" customWidth="1" min="8" max="8"/>
    <col width="2" customWidth="1" min="9" max="9"/>
  </cols>
  <sheetData>
    <row r="2" ht="32" customHeight="1">
      <c r="B2" s="34" t="inlineStr">
        <is>
          <t>FLOTA VOLVO EX30 CORE (F2) — 48 CUOTAS</t>
        </is>
      </c>
    </row>
    <row r="3" ht="20" customHeight="1">
      <c r="B3" s="35" t="inlineStr">
        <is>
          <t>48 cuotas en total · Las cuotas pasadas muestran el pago real recibido · Las cuotas futuras son proyectadas</t>
        </is>
      </c>
    </row>
    <row r="5" ht="24" customHeight="1">
      <c r="B5" s="12" t="inlineStr">
        <is>
          <t>Mes</t>
        </is>
      </c>
      <c r="C5" s="12" t="inlineStr">
        <is>
          <t>Concepto</t>
        </is>
      </c>
      <c r="D5" s="13" t="inlineStr">
        <is>
          <t>Facturado</t>
        </is>
      </c>
      <c r="E5" s="13" t="inlineStr">
        <is>
          <t>Pagado</t>
        </is>
      </c>
      <c r="F5" s="13" t="inlineStr">
        <is>
          <t>Deuda</t>
        </is>
      </c>
      <c r="G5" s="36" t="inlineStr">
        <is>
          <t>Estado</t>
        </is>
      </c>
      <c r="H5" s="12" t="inlineStr">
        <is>
          <t>Observación</t>
        </is>
      </c>
    </row>
    <row r="6" ht="22" customHeight="1">
      <c r="B6" s="14" t="inlineStr">
        <is>
          <t>2025-06</t>
        </is>
      </c>
      <c r="C6" s="16" t="inlineStr">
        <is>
          <t>Renta cuota 1/48</t>
        </is>
      </c>
      <c r="D6" s="17" t="n">
        <v>3311465</v>
      </c>
      <c r="E6" s="37" t="n">
        <v>3300000</v>
      </c>
      <c r="F6" s="18">
        <f>D6-IF(ISNUMBER(E6),E6,0)</f>
        <v/>
      </c>
      <c r="G6" s="43" t="inlineStr">
        <is>
          <t>Pagada</t>
        </is>
      </c>
      <c r="H6" s="39" t="inlineStr">
        <is>
          <t>1ª renta 70,91 UF (recibida 06-may-2025)</t>
        </is>
      </c>
    </row>
    <row r="7" ht="22" customHeight="1">
      <c r="B7" s="20" t="inlineStr">
        <is>
          <t>2025-07</t>
        </is>
      </c>
      <c r="C7" s="22" t="inlineStr">
        <is>
          <t>Renta cuota 2/48</t>
        </is>
      </c>
      <c r="D7" s="23" t="n">
        <v>1072652</v>
      </c>
      <c r="E7" s="40" t="n">
        <v>1070839</v>
      </c>
      <c r="F7" s="24">
        <f>D7-IF(ISNUMBER(E7),E7,0)</f>
        <v/>
      </c>
      <c r="G7" s="41" t="inlineStr">
        <is>
          <t>Pagada</t>
        </is>
      </c>
      <c r="H7" s="42" t="inlineStr">
        <is>
          <t>Pagada 17-jul-2025</t>
        </is>
      </c>
    </row>
    <row r="8" ht="22" customHeight="1">
      <c r="B8" s="14" t="inlineStr">
        <is>
          <t>2025-08</t>
        </is>
      </c>
      <c r="C8" s="16" t="inlineStr">
        <is>
          <t>Renta cuota 3/48</t>
        </is>
      </c>
      <c r="D8" s="17" t="n">
        <v>1075167</v>
      </c>
      <c r="E8" s="37" t="n">
        <v>1070839</v>
      </c>
      <c r="F8" s="18">
        <f>D8-IF(ISNUMBER(E8),E8,0)</f>
        <v/>
      </c>
      <c r="G8" s="43" t="inlineStr">
        <is>
          <t>Pagada</t>
        </is>
      </c>
      <c r="H8" s="39" t="inlineStr">
        <is>
          <t>Pagada 18-ago-2025</t>
        </is>
      </c>
    </row>
    <row r="9" ht="22" customHeight="1">
      <c r="B9" s="20" t="inlineStr">
        <is>
          <t>2025-09</t>
        </is>
      </c>
      <c r="C9" s="22" t="inlineStr">
        <is>
          <t>Renta cuota 4/48</t>
        </is>
      </c>
      <c r="D9" s="23" t="n">
        <v>1079388</v>
      </c>
      <c r="E9" s="40" t="n">
        <v>1071521</v>
      </c>
      <c r="F9" s="24">
        <f>D9-IF(ISNUMBER(E9),E9,0)</f>
        <v/>
      </c>
      <c r="G9" s="41" t="inlineStr">
        <is>
          <t>Pagada</t>
        </is>
      </c>
      <c r="H9" s="42" t="inlineStr">
        <is>
          <t>Pagada 22-sep-2025</t>
        </is>
      </c>
    </row>
    <row r="10" ht="22" customHeight="1">
      <c r="B10" s="14" t="inlineStr">
        <is>
          <t>2025-10</t>
        </is>
      </c>
      <c r="C10" s="16" t="inlineStr">
        <is>
          <t>Renta cuota 5/48</t>
        </is>
      </c>
      <c r="D10" s="17" t="n">
        <v>1085163</v>
      </c>
      <c r="E10" s="37" t="n">
        <v>892308</v>
      </c>
      <c r="F10" s="18">
        <f>D10-IF(ISNUMBER(E10),E10,0)</f>
        <v/>
      </c>
      <c r="G10" s="38" t="inlineStr">
        <is>
          <t>Parcial</t>
        </is>
      </c>
      <c r="H10" s="39" t="inlineStr">
        <is>
          <t>Pago parcial 13-oct-2025</t>
        </is>
      </c>
    </row>
    <row r="11" ht="22" customHeight="1">
      <c r="B11" s="20" t="inlineStr">
        <is>
          <t>2025-11</t>
        </is>
      </c>
      <c r="C11" s="22" t="inlineStr">
        <is>
          <t>Renta cuota 6/48</t>
        </is>
      </c>
      <c r="D11" s="23" t="n">
        <v>1089095</v>
      </c>
      <c r="E11" s="40" t="n">
        <v>893688</v>
      </c>
      <c r="F11" s="24">
        <f>D11-IF(ISNUMBER(E11),E11,0)</f>
        <v/>
      </c>
      <c r="G11" s="53" t="inlineStr">
        <is>
          <t>Parcial</t>
        </is>
      </c>
      <c r="H11" s="42" t="inlineStr">
        <is>
          <t>Pago parcial 17-nov-2025</t>
        </is>
      </c>
    </row>
    <row r="12" ht="22" customHeight="1">
      <c r="B12" s="14" t="inlineStr">
        <is>
          <t>2025-12</t>
        </is>
      </c>
      <c r="C12" s="16" t="inlineStr">
        <is>
          <t>Renta cuota 7/48</t>
        </is>
      </c>
      <c r="D12" s="17" t="n">
        <v>1092058</v>
      </c>
      <c r="E12" s="37" t="n">
        <v>895880</v>
      </c>
      <c r="F12" s="18">
        <f>D12-IF(ISNUMBER(E12),E12,0)</f>
        <v/>
      </c>
      <c r="G12" s="38" t="inlineStr">
        <is>
          <t>Parcial</t>
        </is>
      </c>
      <c r="H12" s="39" t="inlineStr">
        <is>
          <t>Pago parcial 12-dic-2025</t>
        </is>
      </c>
    </row>
    <row r="13" ht="22" customHeight="1">
      <c r="B13" s="20" t="inlineStr">
        <is>
          <t>2026-01</t>
        </is>
      </c>
      <c r="C13" s="22" t="inlineStr">
        <is>
          <t>Renta cuota 8/48</t>
        </is>
      </c>
      <c r="D13" s="23" t="n">
        <v>1095300</v>
      </c>
      <c r="E13" s="40" t="n">
        <v>896918</v>
      </c>
      <c r="F13" s="24">
        <f>D13-IF(ISNUMBER(E13),E13,0)</f>
        <v/>
      </c>
      <c r="G13" s="53" t="inlineStr">
        <is>
          <t>Parcial</t>
        </is>
      </c>
      <c r="H13" s="42" t="inlineStr">
        <is>
          <t>Pago parcial 27-ene-2026</t>
        </is>
      </c>
    </row>
    <row r="14" ht="22" customHeight="1">
      <c r="B14" s="14" t="inlineStr">
        <is>
          <t>2026-02</t>
        </is>
      </c>
      <c r="C14" s="16" t="inlineStr">
        <is>
          <t>Renta cuota 9/48</t>
        </is>
      </c>
      <c r="D14" s="17" t="n">
        <v>1097803</v>
      </c>
      <c r="E14" s="37" t="n">
        <v>897868</v>
      </c>
      <c r="F14" s="18">
        <f>D14-IF(ISNUMBER(E14),E14,0)</f>
        <v/>
      </c>
      <c r="G14" s="38" t="inlineStr">
        <is>
          <t>Parcial</t>
        </is>
      </c>
      <c r="H14" s="39" t="inlineStr">
        <is>
          <t>Pago parcial 20-feb-2026</t>
        </is>
      </c>
    </row>
    <row r="15" ht="22" customHeight="1">
      <c r="B15" s="20" t="inlineStr">
        <is>
          <t>2026-03</t>
        </is>
      </c>
      <c r="C15" s="22" t="inlineStr">
        <is>
          <t>Renta cuota 10/48</t>
        </is>
      </c>
      <c r="D15" s="23" t="n">
        <v>1100271</v>
      </c>
      <c r="E15" s="40" t="n">
        <v>898296</v>
      </c>
      <c r="F15" s="24">
        <f>D15-IF(ISNUMBER(E15),E15,0)</f>
        <v/>
      </c>
      <c r="G15" s="53" t="inlineStr">
        <is>
          <t>Parcial</t>
        </is>
      </c>
      <c r="H15" s="42" t="inlineStr">
        <is>
          <t>Pago parcial 23-mar-2026</t>
        </is>
      </c>
    </row>
    <row r="16" ht="22" customHeight="1">
      <c r="B16" s="14" t="inlineStr">
        <is>
          <t>2026-04</t>
        </is>
      </c>
      <c r="C16" s="16" t="inlineStr">
        <is>
          <t>Renta cuota 11/48</t>
        </is>
      </c>
      <c r="D16" s="17" t="n">
        <v>1103070</v>
      </c>
      <c r="E16" s="37" t="n">
        <v>900354</v>
      </c>
      <c r="F16" s="18">
        <f>D16-IF(ISNUMBER(E16),E16,0)</f>
        <v/>
      </c>
      <c r="G16" s="38" t="inlineStr">
        <is>
          <t>Parcial</t>
        </is>
      </c>
      <c r="H16" s="39" t="inlineStr">
        <is>
          <t>Pago parcial 27-abr-2026</t>
        </is>
      </c>
    </row>
    <row r="17" ht="22" customHeight="1">
      <c r="B17" s="20" t="inlineStr">
        <is>
          <t>2026-05</t>
        </is>
      </c>
      <c r="C17" s="22" t="inlineStr">
        <is>
          <t>Renta cuota 12/48</t>
        </is>
      </c>
      <c r="D17" s="23" t="n">
        <v>1105693</v>
      </c>
      <c r="E17" s="44" t="n">
        <v>0</v>
      </c>
      <c r="F17" s="24">
        <f>D17-IF(ISNUMBER(E17),E17,0)</f>
        <v/>
      </c>
      <c r="G17" s="45" t="inlineStr">
        <is>
          <t>Pendiente</t>
        </is>
      </c>
      <c r="H17" s="42" t="inlineStr">
        <is>
          <t>Cuota del mes en curso</t>
        </is>
      </c>
    </row>
    <row r="18" ht="22" customHeight="1">
      <c r="B18" s="46" t="inlineStr">
        <is>
          <t>2026-06</t>
        </is>
      </c>
      <c r="C18" s="46" t="inlineStr">
        <is>
          <t>Renta cuota 13/48</t>
        </is>
      </c>
      <c r="D18" s="47" t="n">
        <v>1109010</v>
      </c>
      <c r="E18" s="48" t="inlineStr">
        <is>
          <t>—</t>
        </is>
      </c>
      <c r="F18" s="48" t="inlineStr">
        <is>
          <t>—</t>
        </is>
      </c>
      <c r="G18" s="49" t="inlineStr">
        <is>
          <t>Por vencer</t>
        </is>
      </c>
      <c r="H18" s="50" t="inlineStr">
        <is>
          <t>Cuota futura (proyección)</t>
        </is>
      </c>
    </row>
    <row r="19" ht="22" customHeight="1">
      <c r="B19" s="46" t="inlineStr">
        <is>
          <t>2026-07</t>
        </is>
      </c>
      <c r="C19" s="46" t="inlineStr">
        <is>
          <t>Renta cuota 14/48</t>
        </is>
      </c>
      <c r="D19" s="47" t="n">
        <v>1112337</v>
      </c>
      <c r="E19" s="48" t="inlineStr">
        <is>
          <t>—</t>
        </is>
      </c>
      <c r="F19" s="48" t="inlineStr">
        <is>
          <t>—</t>
        </is>
      </c>
      <c r="G19" s="49" t="inlineStr">
        <is>
          <t>Por vencer</t>
        </is>
      </c>
      <c r="H19" s="50" t="inlineStr">
        <is>
          <t>Cuota futura (proyección)</t>
        </is>
      </c>
    </row>
    <row r="20" ht="22" customHeight="1">
      <c r="B20" s="46" t="inlineStr">
        <is>
          <t>2026-08</t>
        </is>
      </c>
      <c r="C20" s="46" t="inlineStr">
        <is>
          <t>Renta cuota 15/48</t>
        </is>
      </c>
      <c r="D20" s="47" t="n">
        <v>1115674</v>
      </c>
      <c r="E20" s="48" t="inlineStr">
        <is>
          <t>—</t>
        </is>
      </c>
      <c r="F20" s="48" t="inlineStr">
        <is>
          <t>—</t>
        </is>
      </c>
      <c r="G20" s="49" t="inlineStr">
        <is>
          <t>Por vencer</t>
        </is>
      </c>
      <c r="H20" s="50" t="inlineStr">
        <is>
          <t>Cuota futura (proyección)</t>
        </is>
      </c>
    </row>
    <row r="21" ht="22" customHeight="1">
      <c r="B21" s="46" t="inlineStr">
        <is>
          <t>2026-09</t>
        </is>
      </c>
      <c r="C21" s="46" t="inlineStr">
        <is>
          <t>Renta cuota 16/48</t>
        </is>
      </c>
      <c r="D21" s="47" t="n">
        <v>1119021</v>
      </c>
      <c r="E21" s="48" t="inlineStr">
        <is>
          <t>—</t>
        </is>
      </c>
      <c r="F21" s="48" t="inlineStr">
        <is>
          <t>—</t>
        </is>
      </c>
      <c r="G21" s="49" t="inlineStr">
        <is>
          <t>Por vencer</t>
        </is>
      </c>
      <c r="H21" s="50" t="inlineStr">
        <is>
          <t>Cuota futura (proyección)</t>
        </is>
      </c>
    </row>
    <row r="22" ht="22" customHeight="1">
      <c r="B22" s="46" t="inlineStr">
        <is>
          <t>2026-10</t>
        </is>
      </c>
      <c r="C22" s="46" t="inlineStr">
        <is>
          <t>Renta cuota 17/48</t>
        </is>
      </c>
      <c r="D22" s="47" t="n">
        <v>1122378</v>
      </c>
      <c r="E22" s="48" t="inlineStr">
        <is>
          <t>—</t>
        </is>
      </c>
      <c r="F22" s="48" t="inlineStr">
        <is>
          <t>—</t>
        </is>
      </c>
      <c r="G22" s="49" t="inlineStr">
        <is>
          <t>Por vencer</t>
        </is>
      </c>
      <c r="H22" s="50" t="inlineStr">
        <is>
          <t>Cuota futura (proyección)</t>
        </is>
      </c>
    </row>
    <row r="23" ht="22" customHeight="1">
      <c r="B23" s="46" t="inlineStr">
        <is>
          <t>2026-11</t>
        </is>
      </c>
      <c r="C23" s="46" t="inlineStr">
        <is>
          <t>Renta cuota 18/48</t>
        </is>
      </c>
      <c r="D23" s="47" t="n">
        <v>1125745</v>
      </c>
      <c r="E23" s="48" t="inlineStr">
        <is>
          <t>—</t>
        </is>
      </c>
      <c r="F23" s="48" t="inlineStr">
        <is>
          <t>—</t>
        </is>
      </c>
      <c r="G23" s="49" t="inlineStr">
        <is>
          <t>Por vencer</t>
        </is>
      </c>
      <c r="H23" s="50" t="inlineStr">
        <is>
          <t>Cuota futura (proyección)</t>
        </is>
      </c>
    </row>
    <row r="24" ht="22" customHeight="1">
      <c r="B24" s="46" t="inlineStr">
        <is>
          <t>2026-12</t>
        </is>
      </c>
      <c r="C24" s="46" t="inlineStr">
        <is>
          <t>Renta cuota 19/48</t>
        </is>
      </c>
      <c r="D24" s="47" t="n">
        <v>1129123</v>
      </c>
      <c r="E24" s="48" t="inlineStr">
        <is>
          <t>—</t>
        </is>
      </c>
      <c r="F24" s="48" t="inlineStr">
        <is>
          <t>—</t>
        </is>
      </c>
      <c r="G24" s="49" t="inlineStr">
        <is>
          <t>Por vencer</t>
        </is>
      </c>
      <c r="H24" s="50" t="inlineStr">
        <is>
          <t>Cuota futura (proyección)</t>
        </is>
      </c>
    </row>
    <row r="25" ht="22" customHeight="1">
      <c r="B25" s="46" t="inlineStr">
        <is>
          <t>2027-01</t>
        </is>
      </c>
      <c r="C25" s="46" t="inlineStr">
        <is>
          <t>Renta cuota 20/48</t>
        </is>
      </c>
      <c r="D25" s="47" t="n">
        <v>1132510</v>
      </c>
      <c r="E25" s="48" t="inlineStr">
        <is>
          <t>—</t>
        </is>
      </c>
      <c r="F25" s="48" t="inlineStr">
        <is>
          <t>—</t>
        </is>
      </c>
      <c r="G25" s="49" t="inlineStr">
        <is>
          <t>Por vencer</t>
        </is>
      </c>
      <c r="H25" s="50" t="inlineStr">
        <is>
          <t>Cuota futura (proyección)</t>
        </is>
      </c>
    </row>
    <row r="26" ht="22" customHeight="1">
      <c r="B26" s="46" t="inlineStr">
        <is>
          <t>2027-02</t>
        </is>
      </c>
      <c r="C26" s="46" t="inlineStr">
        <is>
          <t>Renta cuota 21/48</t>
        </is>
      </c>
      <c r="D26" s="47" t="n">
        <v>1135907</v>
      </c>
      <c r="E26" s="48" t="inlineStr">
        <is>
          <t>—</t>
        </is>
      </c>
      <c r="F26" s="48" t="inlineStr">
        <is>
          <t>—</t>
        </is>
      </c>
      <c r="G26" s="49" t="inlineStr">
        <is>
          <t>Por vencer</t>
        </is>
      </c>
      <c r="H26" s="50" t="inlineStr">
        <is>
          <t>Cuota futura (proyección)</t>
        </is>
      </c>
    </row>
    <row r="27" ht="22" customHeight="1">
      <c r="B27" s="46" t="inlineStr">
        <is>
          <t>2027-03</t>
        </is>
      </c>
      <c r="C27" s="46" t="inlineStr">
        <is>
          <t>Renta cuota 22/48</t>
        </is>
      </c>
      <c r="D27" s="47" t="n">
        <v>1139315</v>
      </c>
      <c r="E27" s="48" t="inlineStr">
        <is>
          <t>—</t>
        </is>
      </c>
      <c r="F27" s="48" t="inlineStr">
        <is>
          <t>—</t>
        </is>
      </c>
      <c r="G27" s="49" t="inlineStr">
        <is>
          <t>Por vencer</t>
        </is>
      </c>
      <c r="H27" s="50" t="inlineStr">
        <is>
          <t>Cuota futura (proyección)</t>
        </is>
      </c>
    </row>
    <row r="28" ht="22" customHeight="1">
      <c r="B28" s="46" t="inlineStr">
        <is>
          <t>2027-04</t>
        </is>
      </c>
      <c r="C28" s="46" t="inlineStr">
        <is>
          <t>Renta cuota 23/48</t>
        </is>
      </c>
      <c r="D28" s="47" t="n">
        <v>1142733</v>
      </c>
      <c r="E28" s="48" t="inlineStr">
        <is>
          <t>—</t>
        </is>
      </c>
      <c r="F28" s="48" t="inlineStr">
        <is>
          <t>—</t>
        </is>
      </c>
      <c r="G28" s="49" t="inlineStr">
        <is>
          <t>Por vencer</t>
        </is>
      </c>
      <c r="H28" s="50" t="inlineStr">
        <is>
          <t>Cuota futura (proyección)</t>
        </is>
      </c>
    </row>
    <row r="29" ht="22" customHeight="1">
      <c r="B29" s="46" t="inlineStr">
        <is>
          <t>2027-05</t>
        </is>
      </c>
      <c r="C29" s="46" t="inlineStr">
        <is>
          <t>Renta cuota 24/48</t>
        </is>
      </c>
      <c r="D29" s="47" t="n">
        <v>1146161</v>
      </c>
      <c r="E29" s="48" t="inlineStr">
        <is>
          <t>—</t>
        </is>
      </c>
      <c r="F29" s="48" t="inlineStr">
        <is>
          <t>—</t>
        </is>
      </c>
      <c r="G29" s="49" t="inlineStr">
        <is>
          <t>Por vencer</t>
        </is>
      </c>
      <c r="H29" s="50" t="inlineStr">
        <is>
          <t>Cuota futura (proyección)</t>
        </is>
      </c>
    </row>
    <row r="30" ht="22" customHeight="1">
      <c r="B30" s="46" t="inlineStr">
        <is>
          <t>2027-06</t>
        </is>
      </c>
      <c r="C30" s="46" t="inlineStr">
        <is>
          <t>Renta cuota 25/48</t>
        </is>
      </c>
      <c r="D30" s="47" t="n">
        <v>1149600</v>
      </c>
      <c r="E30" s="48" t="inlineStr">
        <is>
          <t>—</t>
        </is>
      </c>
      <c r="F30" s="48" t="inlineStr">
        <is>
          <t>—</t>
        </is>
      </c>
      <c r="G30" s="49" t="inlineStr">
        <is>
          <t>Por vencer</t>
        </is>
      </c>
      <c r="H30" s="50" t="inlineStr">
        <is>
          <t>Cuota futura (proyección)</t>
        </is>
      </c>
    </row>
    <row r="31" ht="22" customHeight="1">
      <c r="B31" s="46" t="inlineStr">
        <is>
          <t>2027-07</t>
        </is>
      </c>
      <c r="C31" s="46" t="inlineStr">
        <is>
          <t>Renta cuota 26/48</t>
        </is>
      </c>
      <c r="D31" s="47" t="n">
        <v>1153049</v>
      </c>
      <c r="E31" s="48" t="inlineStr">
        <is>
          <t>—</t>
        </is>
      </c>
      <c r="F31" s="48" t="inlineStr">
        <is>
          <t>—</t>
        </is>
      </c>
      <c r="G31" s="49" t="inlineStr">
        <is>
          <t>Por vencer</t>
        </is>
      </c>
      <c r="H31" s="50" t="inlineStr">
        <is>
          <t>Cuota futura (proyección)</t>
        </is>
      </c>
    </row>
    <row r="32" ht="22" customHeight="1">
      <c r="B32" s="46" t="inlineStr">
        <is>
          <t>2027-08</t>
        </is>
      </c>
      <c r="C32" s="46" t="inlineStr">
        <is>
          <t>Renta cuota 27/48</t>
        </is>
      </c>
      <c r="D32" s="47" t="n">
        <v>1156508</v>
      </c>
      <c r="E32" s="48" t="inlineStr">
        <is>
          <t>—</t>
        </is>
      </c>
      <c r="F32" s="48" t="inlineStr">
        <is>
          <t>—</t>
        </is>
      </c>
      <c r="G32" s="49" t="inlineStr">
        <is>
          <t>Por vencer</t>
        </is>
      </c>
      <c r="H32" s="50" t="inlineStr">
        <is>
          <t>Cuota futura (proyección)</t>
        </is>
      </c>
    </row>
    <row r="33" ht="22" customHeight="1">
      <c r="B33" s="46" t="inlineStr">
        <is>
          <t>2027-09</t>
        </is>
      </c>
      <c r="C33" s="46" t="inlineStr">
        <is>
          <t>Renta cuota 28/48</t>
        </is>
      </c>
      <c r="D33" s="47" t="n">
        <v>1159977</v>
      </c>
      <c r="E33" s="48" t="inlineStr">
        <is>
          <t>—</t>
        </is>
      </c>
      <c r="F33" s="48" t="inlineStr">
        <is>
          <t>—</t>
        </is>
      </c>
      <c r="G33" s="49" t="inlineStr">
        <is>
          <t>Por vencer</t>
        </is>
      </c>
      <c r="H33" s="50" t="inlineStr">
        <is>
          <t>Cuota futura (proyección)</t>
        </is>
      </c>
    </row>
    <row r="34" ht="22" customHeight="1">
      <c r="B34" s="46" t="inlineStr">
        <is>
          <t>2027-10</t>
        </is>
      </c>
      <c r="C34" s="46" t="inlineStr">
        <is>
          <t>Renta cuota 29/48</t>
        </is>
      </c>
      <c r="D34" s="47" t="n">
        <v>1163457</v>
      </c>
      <c r="E34" s="48" t="inlineStr">
        <is>
          <t>—</t>
        </is>
      </c>
      <c r="F34" s="48" t="inlineStr">
        <is>
          <t>—</t>
        </is>
      </c>
      <c r="G34" s="49" t="inlineStr">
        <is>
          <t>Por vencer</t>
        </is>
      </c>
      <c r="H34" s="50" t="inlineStr">
        <is>
          <t>Cuota futura (proyección)</t>
        </is>
      </c>
    </row>
    <row r="35" ht="22" customHeight="1">
      <c r="B35" s="46" t="inlineStr">
        <is>
          <t>2027-11</t>
        </is>
      </c>
      <c r="C35" s="46" t="inlineStr">
        <is>
          <t>Renta cuota 30/48</t>
        </is>
      </c>
      <c r="D35" s="47" t="n">
        <v>1166948</v>
      </c>
      <c r="E35" s="48" t="inlineStr">
        <is>
          <t>—</t>
        </is>
      </c>
      <c r="F35" s="48" t="inlineStr">
        <is>
          <t>—</t>
        </is>
      </c>
      <c r="G35" s="49" t="inlineStr">
        <is>
          <t>Por vencer</t>
        </is>
      </c>
      <c r="H35" s="50" t="inlineStr">
        <is>
          <t>Cuota futura (proyección)</t>
        </is>
      </c>
    </row>
    <row r="36" ht="22" customHeight="1">
      <c r="B36" s="46" t="inlineStr">
        <is>
          <t>2027-12</t>
        </is>
      </c>
      <c r="C36" s="46" t="inlineStr">
        <is>
          <t>Renta cuota 31/48</t>
        </is>
      </c>
      <c r="D36" s="47" t="n">
        <v>1170448</v>
      </c>
      <c r="E36" s="48" t="inlineStr">
        <is>
          <t>—</t>
        </is>
      </c>
      <c r="F36" s="48" t="inlineStr">
        <is>
          <t>—</t>
        </is>
      </c>
      <c r="G36" s="49" t="inlineStr">
        <is>
          <t>Por vencer</t>
        </is>
      </c>
      <c r="H36" s="50" t="inlineStr">
        <is>
          <t>Cuota futura (proyección)</t>
        </is>
      </c>
    </row>
    <row r="37" ht="22" customHeight="1">
      <c r="B37" s="46" t="inlineStr">
        <is>
          <t>2028-01</t>
        </is>
      </c>
      <c r="C37" s="46" t="inlineStr">
        <is>
          <t>Renta cuota 32/48</t>
        </is>
      </c>
      <c r="D37" s="47" t="n">
        <v>1173960</v>
      </c>
      <c r="E37" s="48" t="inlineStr">
        <is>
          <t>—</t>
        </is>
      </c>
      <c r="F37" s="48" t="inlineStr">
        <is>
          <t>—</t>
        </is>
      </c>
      <c r="G37" s="49" t="inlineStr">
        <is>
          <t>Por vencer</t>
        </is>
      </c>
      <c r="H37" s="50" t="inlineStr">
        <is>
          <t>Cuota futura (proyección)</t>
        </is>
      </c>
    </row>
    <row r="38" ht="22" customHeight="1">
      <c r="B38" s="46" t="inlineStr">
        <is>
          <t>2028-02</t>
        </is>
      </c>
      <c r="C38" s="46" t="inlineStr">
        <is>
          <t>Renta cuota 33/48</t>
        </is>
      </c>
      <c r="D38" s="47" t="n">
        <v>1177482</v>
      </c>
      <c r="E38" s="48" t="inlineStr">
        <is>
          <t>—</t>
        </is>
      </c>
      <c r="F38" s="48" t="inlineStr">
        <is>
          <t>—</t>
        </is>
      </c>
      <c r="G38" s="49" t="inlineStr">
        <is>
          <t>Por vencer</t>
        </is>
      </c>
      <c r="H38" s="50" t="inlineStr">
        <is>
          <t>Cuota futura (proyección)</t>
        </is>
      </c>
    </row>
    <row r="39" ht="22" customHeight="1">
      <c r="B39" s="46" t="inlineStr">
        <is>
          <t>2028-03</t>
        </is>
      </c>
      <c r="C39" s="46" t="inlineStr">
        <is>
          <t>Renta cuota 34/48</t>
        </is>
      </c>
      <c r="D39" s="47" t="n">
        <v>1181014</v>
      </c>
      <c r="E39" s="48" t="inlineStr">
        <is>
          <t>—</t>
        </is>
      </c>
      <c r="F39" s="48" t="inlineStr">
        <is>
          <t>—</t>
        </is>
      </c>
      <c r="G39" s="49" t="inlineStr">
        <is>
          <t>Por vencer</t>
        </is>
      </c>
      <c r="H39" s="50" t="inlineStr">
        <is>
          <t>Cuota futura (proyección)</t>
        </is>
      </c>
    </row>
    <row r="40" ht="22" customHeight="1">
      <c r="B40" s="46" t="inlineStr">
        <is>
          <t>2028-04</t>
        </is>
      </c>
      <c r="C40" s="46" t="inlineStr">
        <is>
          <t>Renta cuota 35/48</t>
        </is>
      </c>
      <c r="D40" s="47" t="n">
        <v>1184557</v>
      </c>
      <c r="E40" s="48" t="inlineStr">
        <is>
          <t>—</t>
        </is>
      </c>
      <c r="F40" s="48" t="inlineStr">
        <is>
          <t>—</t>
        </is>
      </c>
      <c r="G40" s="49" t="inlineStr">
        <is>
          <t>Por vencer</t>
        </is>
      </c>
      <c r="H40" s="50" t="inlineStr">
        <is>
          <t>Cuota futura (proyección)</t>
        </is>
      </c>
    </row>
    <row r="41" ht="22" customHeight="1">
      <c r="B41" s="46" t="inlineStr">
        <is>
          <t>2028-05</t>
        </is>
      </c>
      <c r="C41" s="46" t="inlineStr">
        <is>
          <t>Renta cuota 36/48</t>
        </is>
      </c>
      <c r="D41" s="47" t="n">
        <v>1188111</v>
      </c>
      <c r="E41" s="48" t="inlineStr">
        <is>
          <t>—</t>
        </is>
      </c>
      <c r="F41" s="48" t="inlineStr">
        <is>
          <t>—</t>
        </is>
      </c>
      <c r="G41" s="49" t="inlineStr">
        <is>
          <t>Por vencer</t>
        </is>
      </c>
      <c r="H41" s="50" t="inlineStr">
        <is>
          <t>Cuota futura (proyección)</t>
        </is>
      </c>
    </row>
    <row r="42" ht="22" customHeight="1">
      <c r="B42" s="46" t="inlineStr">
        <is>
          <t>2028-06</t>
        </is>
      </c>
      <c r="C42" s="46" t="inlineStr">
        <is>
          <t>Renta cuota 37/48</t>
        </is>
      </c>
      <c r="D42" s="47" t="n">
        <v>1191675</v>
      </c>
      <c r="E42" s="48" t="inlineStr">
        <is>
          <t>—</t>
        </is>
      </c>
      <c r="F42" s="48" t="inlineStr">
        <is>
          <t>—</t>
        </is>
      </c>
      <c r="G42" s="49" t="inlineStr">
        <is>
          <t>Por vencer</t>
        </is>
      </c>
      <c r="H42" s="50" t="inlineStr">
        <is>
          <t>Cuota futura (proyección)</t>
        </is>
      </c>
    </row>
    <row r="43" ht="22" customHeight="1">
      <c r="B43" s="46" t="inlineStr">
        <is>
          <t>2028-07</t>
        </is>
      </c>
      <c r="C43" s="46" t="inlineStr">
        <is>
          <t>Renta cuota 38/48</t>
        </is>
      </c>
      <c r="D43" s="47" t="n">
        <v>1195250</v>
      </c>
      <c r="E43" s="48" t="inlineStr">
        <is>
          <t>—</t>
        </is>
      </c>
      <c r="F43" s="48" t="inlineStr">
        <is>
          <t>—</t>
        </is>
      </c>
      <c r="G43" s="49" t="inlineStr">
        <is>
          <t>Por vencer</t>
        </is>
      </c>
      <c r="H43" s="50" t="inlineStr">
        <is>
          <t>Cuota futura (proyección)</t>
        </is>
      </c>
    </row>
    <row r="44" ht="22" customHeight="1">
      <c r="B44" s="46" t="inlineStr">
        <is>
          <t>2028-08</t>
        </is>
      </c>
      <c r="C44" s="46" t="inlineStr">
        <is>
          <t>Renta cuota 39/48</t>
        </is>
      </c>
      <c r="D44" s="47" t="n">
        <v>1198836</v>
      </c>
      <c r="E44" s="48" t="inlineStr">
        <is>
          <t>—</t>
        </is>
      </c>
      <c r="F44" s="48" t="inlineStr">
        <is>
          <t>—</t>
        </is>
      </c>
      <c r="G44" s="49" t="inlineStr">
        <is>
          <t>Por vencer</t>
        </is>
      </c>
      <c r="H44" s="50" t="inlineStr">
        <is>
          <t>Cuota futura (proyección)</t>
        </is>
      </c>
    </row>
    <row r="45" ht="22" customHeight="1">
      <c r="B45" s="46" t="inlineStr">
        <is>
          <t>2028-09</t>
        </is>
      </c>
      <c r="C45" s="46" t="inlineStr">
        <is>
          <t>Renta cuota 40/48</t>
        </is>
      </c>
      <c r="D45" s="47" t="n">
        <v>1202432</v>
      </c>
      <c r="E45" s="48" t="inlineStr">
        <is>
          <t>—</t>
        </is>
      </c>
      <c r="F45" s="48" t="inlineStr">
        <is>
          <t>—</t>
        </is>
      </c>
      <c r="G45" s="49" t="inlineStr">
        <is>
          <t>Por vencer</t>
        </is>
      </c>
      <c r="H45" s="50" t="inlineStr">
        <is>
          <t>Cuota futura (proyección)</t>
        </is>
      </c>
    </row>
    <row r="46" ht="22" customHeight="1">
      <c r="B46" s="46" t="inlineStr">
        <is>
          <t>2028-10</t>
        </is>
      </c>
      <c r="C46" s="46" t="inlineStr">
        <is>
          <t>Renta cuota 41/48</t>
        </is>
      </c>
      <c r="D46" s="47" t="n">
        <v>1206040</v>
      </c>
      <c r="E46" s="48" t="inlineStr">
        <is>
          <t>—</t>
        </is>
      </c>
      <c r="F46" s="48" t="inlineStr">
        <is>
          <t>—</t>
        </is>
      </c>
      <c r="G46" s="49" t="inlineStr">
        <is>
          <t>Por vencer</t>
        </is>
      </c>
      <c r="H46" s="50" t="inlineStr">
        <is>
          <t>Cuota futura (proyección)</t>
        </is>
      </c>
    </row>
    <row r="47" ht="22" customHeight="1">
      <c r="B47" s="46" t="inlineStr">
        <is>
          <t>2028-11</t>
        </is>
      </c>
      <c r="C47" s="46" t="inlineStr">
        <is>
          <t>Renta cuota 42/48</t>
        </is>
      </c>
      <c r="D47" s="47" t="n">
        <v>1209658</v>
      </c>
      <c r="E47" s="48" t="inlineStr">
        <is>
          <t>—</t>
        </is>
      </c>
      <c r="F47" s="48" t="inlineStr">
        <is>
          <t>—</t>
        </is>
      </c>
      <c r="G47" s="49" t="inlineStr">
        <is>
          <t>Por vencer</t>
        </is>
      </c>
      <c r="H47" s="50" t="inlineStr">
        <is>
          <t>Cuota futura (proyección)</t>
        </is>
      </c>
    </row>
    <row r="48" ht="22" customHeight="1">
      <c r="B48" s="46" t="inlineStr">
        <is>
          <t>2028-12</t>
        </is>
      </c>
      <c r="C48" s="46" t="inlineStr">
        <is>
          <t>Renta cuota 43/48</t>
        </is>
      </c>
      <c r="D48" s="47" t="n">
        <v>1213287</v>
      </c>
      <c r="E48" s="48" t="inlineStr">
        <is>
          <t>—</t>
        </is>
      </c>
      <c r="F48" s="48" t="inlineStr">
        <is>
          <t>—</t>
        </is>
      </c>
      <c r="G48" s="49" t="inlineStr">
        <is>
          <t>Por vencer</t>
        </is>
      </c>
      <c r="H48" s="50" t="inlineStr">
        <is>
          <t>Cuota futura (proyección)</t>
        </is>
      </c>
    </row>
    <row r="49" ht="22" customHeight="1">
      <c r="B49" s="46" t="inlineStr">
        <is>
          <t>2029-01</t>
        </is>
      </c>
      <c r="C49" s="46" t="inlineStr">
        <is>
          <t>Renta cuota 44/48</t>
        </is>
      </c>
      <c r="D49" s="47" t="n">
        <v>1216927</v>
      </c>
      <c r="E49" s="48" t="inlineStr">
        <is>
          <t>—</t>
        </is>
      </c>
      <c r="F49" s="48" t="inlineStr">
        <is>
          <t>—</t>
        </is>
      </c>
      <c r="G49" s="49" t="inlineStr">
        <is>
          <t>Por vencer</t>
        </is>
      </c>
      <c r="H49" s="50" t="inlineStr">
        <is>
          <t>Cuota futura (proyección)</t>
        </is>
      </c>
    </row>
    <row r="50" ht="22" customHeight="1">
      <c r="B50" s="46" t="inlineStr">
        <is>
          <t>2029-02</t>
        </is>
      </c>
      <c r="C50" s="46" t="inlineStr">
        <is>
          <t>Renta cuota 45/48</t>
        </is>
      </c>
      <c r="D50" s="47" t="n">
        <v>1220577</v>
      </c>
      <c r="E50" s="48" t="inlineStr">
        <is>
          <t>—</t>
        </is>
      </c>
      <c r="F50" s="48" t="inlineStr">
        <is>
          <t>—</t>
        </is>
      </c>
      <c r="G50" s="49" t="inlineStr">
        <is>
          <t>Por vencer</t>
        </is>
      </c>
      <c r="H50" s="50" t="inlineStr">
        <is>
          <t>Cuota futura (proyección)</t>
        </is>
      </c>
    </row>
    <row r="51" ht="22" customHeight="1">
      <c r="B51" s="46" t="inlineStr">
        <is>
          <t>2029-03</t>
        </is>
      </c>
      <c r="C51" s="46" t="inlineStr">
        <is>
          <t>Renta cuota 46/48</t>
        </is>
      </c>
      <c r="D51" s="47" t="n">
        <v>1224239</v>
      </c>
      <c r="E51" s="48" t="inlineStr">
        <is>
          <t>—</t>
        </is>
      </c>
      <c r="F51" s="48" t="inlineStr">
        <is>
          <t>—</t>
        </is>
      </c>
      <c r="G51" s="49" t="inlineStr">
        <is>
          <t>Por vencer</t>
        </is>
      </c>
      <c r="H51" s="50" t="inlineStr">
        <is>
          <t>Cuota futura (proyección)</t>
        </is>
      </c>
    </row>
    <row r="52" ht="22" customHeight="1">
      <c r="B52" s="46" t="inlineStr">
        <is>
          <t>2029-04</t>
        </is>
      </c>
      <c r="C52" s="46" t="inlineStr">
        <is>
          <t>Renta cuota 47/48</t>
        </is>
      </c>
      <c r="D52" s="47" t="n">
        <v>1227912</v>
      </c>
      <c r="E52" s="48" t="inlineStr">
        <is>
          <t>—</t>
        </is>
      </c>
      <c r="F52" s="48" t="inlineStr">
        <is>
          <t>—</t>
        </is>
      </c>
      <c r="G52" s="49" t="inlineStr">
        <is>
          <t>Por vencer</t>
        </is>
      </c>
      <c r="H52" s="50" t="inlineStr">
        <is>
          <t>Cuota futura (proyección)</t>
        </is>
      </c>
    </row>
    <row r="53" ht="22" customHeight="1">
      <c r="B53" s="46" t="inlineStr">
        <is>
          <t>2029-05</t>
        </is>
      </c>
      <c r="C53" s="46" t="inlineStr">
        <is>
          <t>Renta cuota 48/48</t>
        </is>
      </c>
      <c r="D53" s="47" t="n">
        <v>1231596</v>
      </c>
      <c r="E53" s="48" t="inlineStr">
        <is>
          <t>—</t>
        </is>
      </c>
      <c r="F53" s="48" t="inlineStr">
        <is>
          <t>—</t>
        </is>
      </c>
      <c r="G53" s="49" t="inlineStr">
        <is>
          <t>Por vencer</t>
        </is>
      </c>
      <c r="H53" s="50" t="inlineStr">
        <is>
          <t>Cuota futura (proyección)</t>
        </is>
      </c>
    </row>
    <row r="54" ht="24" customHeight="1">
      <c r="B54" s="26" t="inlineStr">
        <is>
          <t>TOTAL</t>
        </is>
      </c>
      <c r="C54" s="51" t="inlineStr">
        <is>
          <t>48 cuotas</t>
        </is>
      </c>
      <c r="D54" s="52">
        <f>SUM(D6:D53)</f>
        <v/>
      </c>
      <c r="E54" s="52">
        <f>SUMIF(E6:E53,"&gt;0")</f>
        <v/>
      </c>
      <c r="F54" s="52">
        <f>SUMIF(F6:F53,"&gt;0")</f>
        <v/>
      </c>
      <c r="G54" s="27" t="n"/>
      <c r="H54" s="27" t="n"/>
    </row>
  </sheetData>
  <mergeCells count="2">
    <mergeCell ref="B3:H3"/>
    <mergeCell ref="B2:H2"/>
  </mergeCells>
  <pageMargins left="0.4" right="0.4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F33"/>
  <sheetViews>
    <sheetView showGridLines="0" showRowColHeader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45" customWidth="1" min="3" max="3"/>
    <col width="16" customWidth="1" min="4" max="4"/>
    <col width="12" customWidth="1" min="5" max="5"/>
    <col width="32" customWidth="1" min="6" max="6"/>
    <col width="2" customWidth="1" min="7" max="7"/>
  </cols>
  <sheetData>
    <row r="2" ht="32" customHeight="1">
      <c r="B2" s="34" t="inlineStr">
        <is>
          <t>PAGOS RECIBIDOS — FLOTA VOLVO EX30 PLUS Y CORE</t>
        </is>
      </c>
    </row>
    <row r="3" ht="20" customHeight="1">
      <c r="B3" s="35" t="inlineStr">
        <is>
          <t>Cada fila representa una transferencia recibida en la cuenta Santander N° 9427891-0</t>
        </is>
      </c>
    </row>
    <row r="5" ht="24" customHeight="1">
      <c r="B5" s="12" t="inlineStr">
        <is>
          <t>Fecha</t>
        </is>
      </c>
      <c r="C5" s="12" t="inlineStr">
        <is>
          <t>Glosa cartola Santander</t>
        </is>
      </c>
      <c r="D5" s="13" t="inlineStr">
        <is>
          <t>Monto</t>
        </is>
      </c>
      <c r="E5" s="12" t="inlineStr">
        <is>
          <t>Período</t>
        </is>
      </c>
      <c r="F5" s="12" t="inlineStr">
        <is>
          <t>Aplicación</t>
        </is>
      </c>
    </row>
    <row r="6" ht="22" customHeight="1">
      <c r="B6" s="54" t="inlineStr">
        <is>
          <t>2025-01-27</t>
        </is>
      </c>
      <c r="C6" s="16" t="inlineStr">
        <is>
          <t>Transf. Cristian Allende (RUT 0141831984)</t>
        </is>
      </c>
      <c r="D6" s="55" t="n">
        <v>600000</v>
      </c>
      <c r="E6" s="16" t="inlineStr">
        <is>
          <t>Ene-2025</t>
        </is>
      </c>
      <c r="F6" s="39" t="inlineStr">
        <is>
          <t>F1 — 1ª renta anticipada</t>
        </is>
      </c>
    </row>
    <row r="7" ht="22" customHeight="1">
      <c r="B7" s="56" t="inlineStr">
        <is>
          <t>2025-01-29</t>
        </is>
      </c>
      <c r="C7" s="22" t="inlineStr">
        <is>
          <t>Transf. Cristian Allende (RUT 0141831984)</t>
        </is>
      </c>
      <c r="D7" s="57" t="n">
        <v>3100000</v>
      </c>
      <c r="E7" s="22" t="inlineStr">
        <is>
          <t>Ene-2025</t>
        </is>
      </c>
      <c r="F7" s="42" t="inlineStr">
        <is>
          <t>F1 — 1ª renta anticipada</t>
        </is>
      </c>
    </row>
    <row r="8" ht="22" customHeight="1">
      <c r="B8" s="54" t="inlineStr">
        <is>
          <t>2025-03-07</t>
        </is>
      </c>
      <c r="C8" s="16" t="inlineStr">
        <is>
          <t>Transf. Cristian Allende (RUT 0141831984)</t>
        </is>
      </c>
      <c r="D8" s="55" t="n">
        <v>1173226</v>
      </c>
      <c r="E8" s="16" t="inlineStr">
        <is>
          <t>Mar-2025</t>
        </is>
      </c>
      <c r="F8" s="39" t="inlineStr">
        <is>
          <t>F1 — cuota 2/48</t>
        </is>
      </c>
    </row>
    <row r="9" ht="22" customHeight="1">
      <c r="B9" s="56" t="inlineStr">
        <is>
          <t>2025-04-17</t>
        </is>
      </c>
      <c r="C9" s="22" t="inlineStr">
        <is>
          <t>Transf. Cristian Allende (RUT 0141831984)</t>
        </is>
      </c>
      <c r="D9" s="57" t="n">
        <v>1173226</v>
      </c>
      <c r="E9" s="22" t="inlineStr">
        <is>
          <t>Abr-2025</t>
        </is>
      </c>
      <c r="F9" s="42" t="inlineStr">
        <is>
          <t>F1 — cuota 3/48</t>
        </is>
      </c>
    </row>
    <row r="10" ht="22" customHeight="1">
      <c r="B10" s="54" t="inlineStr">
        <is>
          <t>2025-05-05</t>
        </is>
      </c>
      <c r="C10" s="16" t="inlineStr">
        <is>
          <t>Transf. Cristian Allende (RUT 0141831984)</t>
        </is>
      </c>
      <c r="D10" s="55" t="n">
        <v>1173226</v>
      </c>
      <c r="E10" s="16" t="inlineStr">
        <is>
          <t>May-2025</t>
        </is>
      </c>
      <c r="F10" s="39" t="inlineStr">
        <is>
          <t>F1 — cuota 4/48</t>
        </is>
      </c>
    </row>
    <row r="11" ht="22" customHeight="1">
      <c r="B11" s="56" t="inlineStr">
        <is>
          <t>2025-05-06</t>
        </is>
      </c>
      <c r="C11" s="22" t="inlineStr">
        <is>
          <t>Transf. Cristian Allende (RUT 0141831984)</t>
        </is>
      </c>
      <c r="D11" s="57" t="n">
        <v>3300000</v>
      </c>
      <c r="E11" s="22" t="inlineStr">
        <is>
          <t>May-2025</t>
        </is>
      </c>
      <c r="F11" s="42" t="inlineStr">
        <is>
          <t>F2 — 1ª renta anticipada</t>
        </is>
      </c>
    </row>
    <row r="12" ht="22" customHeight="1">
      <c r="B12" s="54" t="inlineStr">
        <is>
          <t>2025-06-16</t>
        </is>
      </c>
      <c r="C12" s="16" t="inlineStr">
        <is>
          <t>Transf. Cristian Allende (RUT 0141831984)</t>
        </is>
      </c>
      <c r="D12" s="55" t="n">
        <v>1173226</v>
      </c>
      <c r="E12" s="16" t="inlineStr">
        <is>
          <t>Jun-2025</t>
        </is>
      </c>
      <c r="F12" s="39" t="inlineStr">
        <is>
          <t>F1 — cuota 5/48</t>
        </is>
      </c>
    </row>
    <row r="13" ht="22" customHeight="1">
      <c r="B13" s="56" t="inlineStr">
        <is>
          <t>2025-07-17</t>
        </is>
      </c>
      <c r="C13" s="22" t="inlineStr">
        <is>
          <t>Transf. Cristian Allende (RUT 0141831984)</t>
        </is>
      </c>
      <c r="D13" s="57" t="n">
        <v>1173226</v>
      </c>
      <c r="E13" s="22" t="inlineStr">
        <is>
          <t>Jul-2025</t>
        </is>
      </c>
      <c r="F13" s="42" t="inlineStr">
        <is>
          <t>F1 — cuota 6/48</t>
        </is>
      </c>
    </row>
    <row r="14" ht="22" customHeight="1">
      <c r="B14" s="54" t="inlineStr">
        <is>
          <t>2025-07-17</t>
        </is>
      </c>
      <c r="C14" s="16" t="inlineStr">
        <is>
          <t>Transf. Cristian Allende (RUT 0141831984)</t>
        </is>
      </c>
      <c r="D14" s="55" t="n">
        <v>1070839</v>
      </c>
      <c r="E14" s="16" t="inlineStr">
        <is>
          <t>Jul-2025</t>
        </is>
      </c>
      <c r="F14" s="39" t="inlineStr">
        <is>
          <t>F2 — cuota 2/48</t>
        </is>
      </c>
    </row>
    <row r="15" ht="22" customHeight="1">
      <c r="B15" s="56" t="inlineStr">
        <is>
          <t>2025-08-18</t>
        </is>
      </c>
      <c r="C15" s="22" t="inlineStr">
        <is>
          <t>Transf. Cristian Allende (RUT 0141831984)</t>
        </is>
      </c>
      <c r="D15" s="57" t="n">
        <v>1173226</v>
      </c>
      <c r="E15" s="22" t="inlineStr">
        <is>
          <t>Ago-2025</t>
        </is>
      </c>
      <c r="F15" s="42" t="inlineStr">
        <is>
          <t>F1 — cuota 7/48</t>
        </is>
      </c>
    </row>
    <row r="16" ht="22" customHeight="1">
      <c r="B16" s="54" t="inlineStr">
        <is>
          <t>2025-08-18</t>
        </is>
      </c>
      <c r="C16" s="16" t="inlineStr">
        <is>
          <t>Transf. Cristian Allende (RUT 0141831984)</t>
        </is>
      </c>
      <c r="D16" s="55" t="n">
        <v>1070839</v>
      </c>
      <c r="E16" s="16" t="inlineStr">
        <is>
          <t>Ago-2025</t>
        </is>
      </c>
      <c r="F16" s="39" t="inlineStr">
        <is>
          <t>F2 — cuota 3/48</t>
        </is>
      </c>
    </row>
    <row r="17" ht="22" customHeight="1">
      <c r="B17" s="56" t="inlineStr">
        <is>
          <t>2025-09-22</t>
        </is>
      </c>
      <c r="C17" s="22" t="inlineStr">
        <is>
          <t>Transf. Cristian Allende (RUT 0141831984)</t>
        </is>
      </c>
      <c r="D17" s="57" t="n">
        <v>1195356</v>
      </c>
      <c r="E17" s="22" t="inlineStr">
        <is>
          <t>Sep-2025</t>
        </is>
      </c>
      <c r="F17" s="42" t="inlineStr">
        <is>
          <t>F1 — cuota 8/48</t>
        </is>
      </c>
    </row>
    <row r="18" ht="22" customHeight="1">
      <c r="B18" s="54" t="inlineStr">
        <is>
          <t>2025-09-22</t>
        </is>
      </c>
      <c r="C18" s="16" t="inlineStr">
        <is>
          <t>Transf. Cristian Allende (RUT 0141831984)</t>
        </is>
      </c>
      <c r="D18" s="55" t="n">
        <v>1071521</v>
      </c>
      <c r="E18" s="16" t="inlineStr">
        <is>
          <t>Sep-2025</t>
        </is>
      </c>
      <c r="F18" s="39" t="inlineStr">
        <is>
          <t>F2 — cuota 4/48</t>
        </is>
      </c>
    </row>
    <row r="19" ht="22" customHeight="1">
      <c r="B19" s="56" t="inlineStr">
        <is>
          <t>2025-10-13</t>
        </is>
      </c>
      <c r="C19" s="22" t="inlineStr">
        <is>
          <t>Transf. Cristian Allende (RUT 0141831984)</t>
        </is>
      </c>
      <c r="D19" s="57" t="n">
        <v>1201962</v>
      </c>
      <c r="E19" s="22" t="inlineStr">
        <is>
          <t>Oct-2025</t>
        </is>
      </c>
      <c r="F19" s="42" t="inlineStr">
        <is>
          <t>F1 — cuota 9/48</t>
        </is>
      </c>
    </row>
    <row r="20" ht="22" customHeight="1">
      <c r="B20" s="54" t="inlineStr">
        <is>
          <t>2025-10-13</t>
        </is>
      </c>
      <c r="C20" s="16" t="inlineStr">
        <is>
          <t>Transf. Cristian Allende (RUT 0141831984)</t>
        </is>
      </c>
      <c r="D20" s="55" t="n">
        <v>892308</v>
      </c>
      <c r="E20" s="16" t="inlineStr">
        <is>
          <t>Oct-2025</t>
        </is>
      </c>
      <c r="F20" s="39" t="inlineStr">
        <is>
          <t>F2 — cuota 5/48 (parcial)</t>
        </is>
      </c>
    </row>
    <row r="21" ht="22" customHeight="1">
      <c r="B21" s="56" t="inlineStr">
        <is>
          <t>2025-11-17</t>
        </is>
      </c>
      <c r="C21" s="22" t="inlineStr">
        <is>
          <t>Transf. Cristian Allende (RUT 0141831984)</t>
        </is>
      </c>
      <c r="D21" s="57" t="n">
        <v>1203818</v>
      </c>
      <c r="E21" s="22" t="inlineStr">
        <is>
          <t>Nov-2025</t>
        </is>
      </c>
      <c r="F21" s="42" t="inlineStr">
        <is>
          <t>F1 — cuota 10/48</t>
        </is>
      </c>
    </row>
    <row r="22" ht="22" customHeight="1">
      <c r="B22" s="54" t="inlineStr">
        <is>
          <t>2025-11-17</t>
        </is>
      </c>
      <c r="C22" s="16" t="inlineStr">
        <is>
          <t>Transf. Cristian Allende (RUT 0141831984)</t>
        </is>
      </c>
      <c r="D22" s="55" t="n">
        <v>893688</v>
      </c>
      <c r="E22" s="16" t="inlineStr">
        <is>
          <t>Nov-2025</t>
        </is>
      </c>
      <c r="F22" s="39" t="inlineStr">
        <is>
          <t>F2 — cuota 6/48 (parcial)</t>
        </is>
      </c>
    </row>
    <row r="23" ht="22" customHeight="1">
      <c r="B23" s="56" t="inlineStr">
        <is>
          <t>2025-12-12</t>
        </is>
      </c>
      <c r="C23" s="22" t="inlineStr">
        <is>
          <t>Transf. Cristian Allende (RUT 0141831984)</t>
        </is>
      </c>
      <c r="D23" s="57" t="n">
        <v>1206772</v>
      </c>
      <c r="E23" s="22" t="inlineStr">
        <is>
          <t>Dic-2025</t>
        </is>
      </c>
      <c r="F23" s="42" t="inlineStr">
        <is>
          <t>F1 — cuota 11/48</t>
        </is>
      </c>
    </row>
    <row r="24" ht="22" customHeight="1">
      <c r="B24" s="54" t="inlineStr">
        <is>
          <t>2025-12-12</t>
        </is>
      </c>
      <c r="C24" s="16" t="inlineStr">
        <is>
          <t>Transf. Cristian Allende (RUT 0141831984)</t>
        </is>
      </c>
      <c r="D24" s="55" t="n">
        <v>895880</v>
      </c>
      <c r="E24" s="16" t="inlineStr">
        <is>
          <t>Dic-2025</t>
        </is>
      </c>
      <c r="F24" s="39" t="inlineStr">
        <is>
          <t>F2 — cuota 7/48 (parcial)</t>
        </is>
      </c>
    </row>
    <row r="25" ht="22" customHeight="1">
      <c r="B25" s="56" t="inlineStr">
        <is>
          <t>2026-01-27</t>
        </is>
      </c>
      <c r="C25" s="22" t="inlineStr">
        <is>
          <t>Transf. Cristian Allende (RUT 0141831984)</t>
        </is>
      </c>
      <c r="D25" s="57" t="n">
        <v>1208171</v>
      </c>
      <c r="E25" s="22" t="inlineStr">
        <is>
          <t>Ene-2026</t>
        </is>
      </c>
      <c r="F25" s="42" t="inlineStr">
        <is>
          <t>F1 — cuota 12/48</t>
        </is>
      </c>
    </row>
    <row r="26" ht="22" customHeight="1">
      <c r="B26" s="54" t="inlineStr">
        <is>
          <t>2026-01-27</t>
        </is>
      </c>
      <c r="C26" s="16" t="inlineStr">
        <is>
          <t>Transf. Cristian Allende (RUT 0141831984)</t>
        </is>
      </c>
      <c r="D26" s="55" t="n">
        <v>896918</v>
      </c>
      <c r="E26" s="16" t="inlineStr">
        <is>
          <t>Ene-2026</t>
        </is>
      </c>
      <c r="F26" s="39" t="inlineStr">
        <is>
          <t>F2 — cuota 8/48 (parcial)</t>
        </is>
      </c>
    </row>
    <row r="27" ht="22" customHeight="1">
      <c r="B27" s="56" t="inlineStr">
        <is>
          <t>2026-02-20</t>
        </is>
      </c>
      <c r="C27" s="22" t="inlineStr">
        <is>
          <t>Transf. Cristian Allende (RUT 0141831984)</t>
        </is>
      </c>
      <c r="D27" s="57" t="n">
        <v>1209451</v>
      </c>
      <c r="E27" s="22" t="inlineStr">
        <is>
          <t>Feb-2026</t>
        </is>
      </c>
      <c r="F27" s="42" t="inlineStr">
        <is>
          <t>F1 — cuota 13/48</t>
        </is>
      </c>
    </row>
    <row r="28" ht="22" customHeight="1">
      <c r="B28" s="54" t="inlineStr">
        <is>
          <t>2026-02-20</t>
        </is>
      </c>
      <c r="C28" s="16" t="inlineStr">
        <is>
          <t>Transf. Cristian Allende (RUT 0141831984)</t>
        </is>
      </c>
      <c r="D28" s="55" t="n">
        <v>897868</v>
      </c>
      <c r="E28" s="16" t="inlineStr">
        <is>
          <t>Feb-2026</t>
        </is>
      </c>
      <c r="F28" s="39" t="inlineStr">
        <is>
          <t>F2 — cuota 9/48 (parcial)</t>
        </is>
      </c>
    </row>
    <row r="29" ht="22" customHeight="1">
      <c r="B29" s="56" t="inlineStr">
        <is>
          <t>2026-03-23</t>
        </is>
      </c>
      <c r="C29" s="22" t="inlineStr">
        <is>
          <t>Transf. Cristian Allende (RUT 0141831984)</t>
        </is>
      </c>
      <c r="D29" s="57" t="n">
        <v>1210029</v>
      </c>
      <c r="E29" s="22" t="inlineStr">
        <is>
          <t>Mar-2026</t>
        </is>
      </c>
      <c r="F29" s="42" t="inlineStr">
        <is>
          <t>F1 — cuota 14/48</t>
        </is>
      </c>
    </row>
    <row r="30" ht="22" customHeight="1">
      <c r="B30" s="54" t="inlineStr">
        <is>
          <t>2026-03-23</t>
        </is>
      </c>
      <c r="C30" s="16" t="inlineStr">
        <is>
          <t>Transf. Cristian Allende (RUT 0141831984)</t>
        </is>
      </c>
      <c r="D30" s="55" t="n">
        <v>898296</v>
      </c>
      <c r="E30" s="16" t="inlineStr">
        <is>
          <t>Mar-2026</t>
        </is>
      </c>
      <c r="F30" s="39" t="inlineStr">
        <is>
          <t>F2 — cuota 10/48 (parcial)</t>
        </is>
      </c>
    </row>
    <row r="31" ht="22" customHeight="1">
      <c r="B31" s="56" t="inlineStr">
        <is>
          <t>2026-04-27</t>
        </is>
      </c>
      <c r="C31" s="22" t="inlineStr">
        <is>
          <t>Transf. Cristian Allende (RUT 0141831984)</t>
        </is>
      </c>
      <c r="D31" s="57" t="n">
        <v>1212798</v>
      </c>
      <c r="E31" s="22" t="inlineStr">
        <is>
          <t>Abr-2026</t>
        </is>
      </c>
      <c r="F31" s="42" t="inlineStr">
        <is>
          <t>F1 — cuota 15/48</t>
        </is>
      </c>
    </row>
    <row r="32" ht="22" customHeight="1">
      <c r="B32" s="54" t="inlineStr">
        <is>
          <t>2026-04-27</t>
        </is>
      </c>
      <c r="C32" s="16" t="inlineStr">
        <is>
          <t>Transf. Cristian Allende (RUT 0141831984)</t>
        </is>
      </c>
      <c r="D32" s="55" t="n">
        <v>900354</v>
      </c>
      <c r="E32" s="16" t="inlineStr">
        <is>
          <t>Abr-2026</t>
        </is>
      </c>
      <c r="F32" s="39" t="inlineStr">
        <is>
          <t>F2 — cuota 11/48 (parcial)</t>
        </is>
      </c>
    </row>
    <row r="33" ht="26" customHeight="1">
      <c r="B33" s="26" t="inlineStr">
        <is>
          <t>TOTAL RECIBIDO</t>
        </is>
      </c>
      <c r="C33" s="51" t="inlineStr">
        <is>
          <t>27 transferencias</t>
        </is>
      </c>
      <c r="D33" s="28">
        <f>SUM(D6:D32)</f>
        <v/>
      </c>
      <c r="E33" s="27" t="n"/>
      <c r="F33" s="27" t="n"/>
    </row>
  </sheetData>
  <mergeCells count="2">
    <mergeCell ref="B2:F2"/>
    <mergeCell ref="B3:F3"/>
  </mergeCells>
  <pageMargins left="0.4" right="0.4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2026-05-26T22:15:00Z</dcterms:created>
  <dcterms:modified xmlns:dcterms="http://purl.org/dc/terms/" xmlns:xsi="http://www.w3.org/2001/XMLSchema-instance" xsi:type="dcterms:W3CDTF">2026-05-26T22:15:00Z</dcterms:modified>
</cp:coreProperties>
</file>