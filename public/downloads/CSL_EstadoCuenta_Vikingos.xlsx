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Todas las cuotas" sheetId="2" state="visible" r:id="rId2"/>
    <sheet xmlns:r="http://schemas.openxmlformats.org/officeDocument/2006/relationships" name="Pagos recibidos" sheetId="3" state="visible" r:id="rId3"/>
  </sheets>
  <definedNames>
    <definedName name="_xlnm.Print_Titles" localSheetId="1">'Todas las cuotas'!$1:$5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;[Red](&quot;$&quot;#,##0);&quot;—&quot;"/>
    <numFmt numFmtId="165" formatCode="0.0%"/>
    <numFmt numFmtId="166" formatCode="yyyy-mm-dd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24"/>
    </font>
    <font>
      <name val="Arial"/>
      <i val="1"/>
      <color rgb="00FFFFFF"/>
      <sz val="11"/>
    </font>
    <font>
      <name val="Arial"/>
      <b val="1"/>
      <color rgb="00475569"/>
      <sz val="10"/>
    </font>
    <font>
      <name val="Arial"/>
      <b val="1"/>
      <color rgb="00D97706"/>
      <sz val="56"/>
    </font>
    <font>
      <name val="Arial"/>
      <i val="1"/>
      <color rgb="00475569"/>
      <sz val="12"/>
    </font>
    <font>
      <name val="Arial"/>
      <b val="1"/>
      <color rgb="00475569"/>
      <sz val="9"/>
    </font>
    <font>
      <name val="Arial"/>
      <b val="1"/>
      <color rgb="00D97706"/>
      <sz val="20"/>
    </font>
    <font>
      <name val="Arial"/>
      <b val="1"/>
      <color rgb="0016A34A"/>
      <sz val="20"/>
    </font>
    <font>
      <name val="Arial"/>
      <b val="1"/>
      <color rgb="0092400E"/>
      <sz val="20"/>
    </font>
    <font>
      <name val="Arial"/>
      <b val="1"/>
      <color rgb="00D97706"/>
      <sz val="12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color rgb="00475569"/>
      <sz val="10"/>
    </font>
    <font>
      <name val="Arial"/>
      <b val="1"/>
      <color rgb="00FFFFFF"/>
      <sz val="12"/>
    </font>
    <font>
      <name val="Arial"/>
      <color rgb="00475569"/>
      <sz val="11"/>
    </font>
    <font>
      <name val="Arial"/>
      <b val="1"/>
      <color rgb="000F172A"/>
      <sz val="12"/>
    </font>
    <font>
      <name val="Arial"/>
      <i val="1"/>
      <color rgb="00475569"/>
      <sz val="9"/>
    </font>
    <font>
      <name val="Arial"/>
      <color rgb="0094A3B8"/>
      <sz val="9"/>
    </font>
    <font>
      <name val="Arial"/>
      <b val="1"/>
      <color rgb="00FFFFFF"/>
      <sz val="14"/>
    </font>
    <font>
      <name val="Arial"/>
      <b val="1"/>
      <color rgb="0016A34A"/>
      <sz val="10"/>
    </font>
    <font>
      <name val="Arial"/>
      <b val="1"/>
      <color rgb="00F59E0B"/>
      <sz val="10"/>
    </font>
    <font>
      <name val="Arial"/>
      <color rgb="00475569"/>
      <sz val="9"/>
    </font>
    <font>
      <name val="Arial"/>
      <color rgb="0094A3B8"/>
      <sz val="10"/>
    </font>
    <font>
      <name val="Arial"/>
      <b val="1"/>
      <color rgb="00DC2626"/>
      <sz val="10"/>
    </font>
    <font>
      <name val="Arial"/>
      <b val="1"/>
      <color rgb="0094A3B8"/>
      <sz val="10"/>
    </font>
    <font>
      <name val="Arial"/>
      <i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92400E"/>
      </patternFill>
    </fill>
    <fill>
      <patternFill patternType="solid">
        <fgColor rgb="00FFFBEB"/>
      </patternFill>
    </fill>
    <fill>
      <patternFill patternType="solid">
        <fgColor rgb="00F8FAFC"/>
      </patternFill>
    </fill>
    <fill>
      <patternFill patternType="solid">
        <fgColor rgb="00D97706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bottom" indent="2"/>
    </xf>
    <xf numFmtId="0" fontId="2" fillId="2" borderId="0" applyAlignment="1" pivotButton="0" quotePrefix="0" xfId="0">
      <alignment horizontal="left" vertical="center" indent="2"/>
    </xf>
    <xf numFmtId="0" fontId="3" fillId="2" borderId="0" applyAlignment="1" pivotButton="0" quotePrefix="0" xfId="0">
      <alignment horizontal="left" vertical="top" indent="2"/>
    </xf>
    <xf numFmtId="0" fontId="4" fillId="0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164" fontId="8" fillId="4" borderId="1" applyAlignment="1" pivotButton="0" quotePrefix="0" xfId="0">
      <alignment horizontal="left" vertical="center" indent="1"/>
    </xf>
    <xf numFmtId="164" fontId="9" fillId="4" borderId="1" applyAlignment="1" pivotButton="0" quotePrefix="0" xfId="0">
      <alignment horizontal="left" vertical="center" indent="1"/>
    </xf>
    <xf numFmtId="165" fontId="10" fillId="4" borderId="1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 indent="1"/>
    </xf>
    <xf numFmtId="0" fontId="12" fillId="2" borderId="1" applyAlignment="1" pivotButton="0" quotePrefix="0" xfId="0">
      <alignment horizontal="right" vertical="center" indent="1"/>
    </xf>
    <xf numFmtId="0" fontId="13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4" fillId="0" borderId="1" applyAlignment="1" pivotButton="0" quotePrefix="0" xfId="0">
      <alignment horizontal="left" vertical="center" indent="1"/>
    </xf>
    <xf numFmtId="164" fontId="14" fillId="0" borderId="1" applyAlignment="1" pivotButton="0" quotePrefix="0" xfId="0">
      <alignment horizontal="right" vertical="center" indent="1"/>
    </xf>
    <xf numFmtId="164" fontId="15" fillId="0" borderId="1" applyAlignment="1" pivotButton="0" quotePrefix="0" xfId="0">
      <alignment horizontal="right" vertical="center" indent="1"/>
    </xf>
    <xf numFmtId="165" fontId="16" fillId="0" borderId="1" applyAlignment="1" pivotButton="0" quotePrefix="0" xfId="0">
      <alignment horizontal="right" vertical="center" indent="1"/>
    </xf>
    <xf numFmtId="0" fontId="13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0" fontId="14" fillId="4" borderId="1" applyAlignment="1" pivotButton="0" quotePrefix="0" xfId="0">
      <alignment horizontal="left" vertical="center" indent="1"/>
    </xf>
    <xf numFmtId="164" fontId="14" fillId="4" borderId="1" applyAlignment="1" pivotButton="0" quotePrefix="0" xfId="0">
      <alignment horizontal="right" vertical="center" indent="1"/>
    </xf>
    <xf numFmtId="164" fontId="15" fillId="4" borderId="1" applyAlignment="1" pivotButton="0" quotePrefix="0" xfId="0">
      <alignment horizontal="right" vertical="center" indent="1"/>
    </xf>
    <xf numFmtId="165" fontId="16" fillId="4" borderId="1" applyAlignment="1" pivotButton="0" quotePrefix="0" xfId="0">
      <alignment horizontal="right" vertical="center" indent="1"/>
    </xf>
    <xf numFmtId="0" fontId="1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164" fontId="17" fillId="5" borderId="1" applyAlignment="1" pivotButton="0" quotePrefix="0" xfId="0">
      <alignment horizontal="right" vertical="center" indent="1"/>
    </xf>
    <xf numFmtId="165" fontId="1" fillId="5" borderId="1" applyAlignment="1" pivotButton="0" quotePrefix="0" xfId="0">
      <alignment horizontal="right" vertical="center" indent="1"/>
    </xf>
    <xf numFmtId="0" fontId="18" fillId="4" borderId="1" applyAlignment="1" pivotButton="0" quotePrefix="0" xfId="0">
      <alignment horizontal="left" vertical="center" indent="2"/>
    </xf>
    <xf numFmtId="0" fontId="19" fillId="6" borderId="1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left" vertical="center" indent="2"/>
    </xf>
    <xf numFmtId="0" fontId="12" fillId="2" borderId="1" applyAlignment="1" pivotButton="0" quotePrefix="0" xfId="0">
      <alignment horizontal="center" vertical="center" indent="1"/>
    </xf>
    <xf numFmtId="164" fontId="23" fillId="0" borderId="1" applyAlignment="1" pivotButton="0" quotePrefix="0" xfId="0">
      <alignment horizontal="right" vertical="center" indent="1"/>
    </xf>
    <xf numFmtId="0" fontId="24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left" vertical="center" indent="1"/>
    </xf>
    <xf numFmtId="164" fontId="26" fillId="4" borderId="1" applyAlignment="1" pivotButton="0" quotePrefix="0" xfId="0">
      <alignment horizontal="right" vertical="center" indent="1"/>
    </xf>
    <xf numFmtId="0" fontId="27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left" vertical="center" indent="1"/>
    </xf>
    <xf numFmtId="164" fontId="26" fillId="0" borderId="1" applyAlignment="1" pivotButton="0" quotePrefix="0" xfId="0">
      <alignment horizontal="right" vertical="center" indent="1"/>
    </xf>
    <xf numFmtId="0" fontId="27" fillId="0" borderId="1" applyAlignment="1" pivotButton="0" quotePrefix="0" xfId="0">
      <alignment horizontal="center" vertical="center"/>
    </xf>
    <xf numFmtId="164" fontId="23" fillId="4" borderId="1" applyAlignment="1" pivotButton="0" quotePrefix="0" xfId="0">
      <alignment horizontal="right" vertical="center" indent="1"/>
    </xf>
    <xf numFmtId="0" fontId="23" fillId="4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left" vertical="center" indent="1"/>
    </xf>
    <xf numFmtId="164" fontId="26" fillId="7" borderId="1" applyAlignment="1" pivotButton="0" quotePrefix="0" xfId="0">
      <alignment horizontal="right" vertical="center" indent="1"/>
    </xf>
    <xf numFmtId="0" fontId="26" fillId="7" borderId="1" applyAlignment="1" pivotButton="0" quotePrefix="0" xfId="0">
      <alignment horizontal="right" vertical="center" indent="1"/>
    </xf>
    <xf numFmtId="0" fontId="28" fillId="7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left" vertical="center" indent="1"/>
    </xf>
    <xf numFmtId="0" fontId="29" fillId="5" borderId="1" applyAlignment="1" pivotButton="0" quotePrefix="0" xfId="0">
      <alignment horizontal="left" vertical="center" indent="1"/>
    </xf>
    <xf numFmtId="164" fontId="1" fillId="5" borderId="1" applyAlignment="1" pivotButton="0" quotePrefix="0" xfId="0">
      <alignment horizontal="right" vertical="center" indent="1"/>
    </xf>
    <xf numFmtId="166" fontId="14" fillId="0" borderId="1" applyAlignment="1" pivotButton="0" quotePrefix="0" xfId="0">
      <alignment horizontal="left" vertical="center" indent="1"/>
    </xf>
    <xf numFmtId="164" fontId="23" fillId="0" borderId="1" applyAlignment="1" pivotButton="0" quotePrefix="0" xfId="0">
      <alignment horizontal="right" vertical="center"/>
    </xf>
    <xf numFmtId="166" fontId="14" fillId="4" borderId="1" applyAlignment="1" pivotButton="0" quotePrefix="0" xfId="0">
      <alignment horizontal="left" vertical="center" indent="1"/>
    </xf>
    <xf numFmtId="164" fontId="2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36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</cols>
  <sheetData>
    <row r="1" ht="16" customHeight="1"/>
    <row r="2" ht="26" customHeight="1">
      <c r="B2" s="1" t="inlineStr">
        <is>
          <t>ESTADO DE CUENTA</t>
        </is>
      </c>
    </row>
    <row r="3" ht="12" customHeight="1"/>
    <row r="4" ht="36" customHeight="1">
      <c r="B4" s="2" t="inlineStr">
        <is>
          <t>Comunidad Edificio Los Vikingos</t>
        </is>
      </c>
    </row>
    <row r="5"/>
    <row r="6" ht="22" customHeight="1">
      <c r="B6" s="3" t="inlineStr">
        <is>
          <t>Contrato Sistema ACS · RUT 53.321.997-7 · Conciliado al 12 de mayo de 2026</t>
        </is>
      </c>
    </row>
    <row r="7" ht="14" customHeight="1"/>
    <row r="9" ht="22" customHeight="1">
      <c r="B9" s="4" t="inlineStr">
        <is>
          <t>SALDO QUE NOS DEBE A LA FECHA</t>
        </is>
      </c>
    </row>
    <row r="10" ht="30" customHeight="1">
      <c r="B10" s="5" t="n">
        <v>2542313</v>
      </c>
    </row>
    <row r="11" ht="30" customHeight="1"/>
    <row r="12" ht="30" customHeight="1"/>
    <row r="13" ht="30" customHeight="1">
      <c r="B13" s="6" t="inlineStr">
        <is>
          <t>Saldo menor por regularizar — gracias por la buena disposición con el anticipo.</t>
        </is>
      </c>
    </row>
    <row r="15" ht="18" customHeight="1">
      <c r="B15" s="7" t="inlineStr">
        <is>
          <t>Facturado a la fecha</t>
        </is>
      </c>
      <c r="E15" s="7" t="inlineStr">
        <is>
          <t>Total recibido</t>
        </is>
      </c>
      <c r="H15" s="7" t="inlineStr">
        <is>
          <t>Cumplimiento</t>
        </is>
      </c>
    </row>
    <row r="16" ht="36" customHeight="1">
      <c r="B16" s="8" t="n">
        <v>29857247</v>
      </c>
      <c r="E16" s="9" t="n">
        <v>27314934</v>
      </c>
      <c r="H16" s="10" t="n">
        <v>0.91485105776832</v>
      </c>
    </row>
    <row r="18" ht="28" customHeight="1">
      <c r="B18" s="11" t="inlineStr">
        <is>
          <t>¿DE DÓNDE VIENE LA DEUDA?</t>
        </is>
      </c>
    </row>
    <row r="19" ht="24" customHeight="1">
      <c r="B19" s="12" t="inlineStr">
        <is>
          <t>Mes</t>
        </is>
      </c>
      <c r="D19" s="12" t="inlineStr">
        <is>
          <t>Descripción</t>
        </is>
      </c>
      <c r="F19" s="13" t="inlineStr">
        <is>
          <t>Facturado</t>
        </is>
      </c>
      <c r="G19" s="13" t="inlineStr">
        <is>
          <t>Pagado</t>
        </is>
      </c>
      <c r="H19" s="13" t="inlineStr">
        <is>
          <t>Deuda</t>
        </is>
      </c>
      <c r="I19" s="13" t="inlineStr">
        <is>
          <t>% del total</t>
        </is>
      </c>
    </row>
    <row r="20" ht="22" customHeight="1">
      <c r="B20" s="14" t="inlineStr">
        <is>
          <t>2026-02</t>
        </is>
      </c>
      <c r="C20" s="15" t="n"/>
      <c r="D20" s="16" t="inlineStr">
        <is>
          <t>Renta cuota 1/24</t>
        </is>
      </c>
      <c r="E20" s="15" t="n"/>
      <c r="F20" s="17" t="n">
        <v>22455575</v>
      </c>
      <c r="G20" s="17" t="n">
        <v>20000000</v>
      </c>
      <c r="H20" s="18" t="n">
        <v>2455575</v>
      </c>
      <c r="I20" s="19" t="n">
        <v>0.965882249746589</v>
      </c>
      <c r="J20" s="15" t="n"/>
    </row>
    <row r="21" ht="22" customHeight="1">
      <c r="B21" s="20" t="inlineStr">
        <is>
          <t>2026-03</t>
        </is>
      </c>
      <c r="C21" s="21" t="n"/>
      <c r="D21" s="22" t="inlineStr">
        <is>
          <t>Renta cuota 2/24</t>
        </is>
      </c>
      <c r="E21" s="21" t="n"/>
      <c r="F21" s="23" t="n">
        <v>2461095</v>
      </c>
      <c r="G21" s="23" t="n">
        <v>0</v>
      </c>
      <c r="H21" s="24" t="n">
        <v>2461095</v>
      </c>
      <c r="I21" s="25" t="n">
        <v>0.9680535008867909</v>
      </c>
      <c r="J21" s="21" t="n"/>
    </row>
    <row r="22" ht="22" customHeight="1">
      <c r="B22" s="14" t="inlineStr">
        <is>
          <t>2026-04</t>
        </is>
      </c>
      <c r="C22" s="15" t="n"/>
      <c r="D22" s="16" t="inlineStr">
        <is>
          <t>Renta cuota 3/24</t>
        </is>
      </c>
      <c r="E22" s="15" t="n"/>
      <c r="F22" s="17" t="n">
        <v>2467355</v>
      </c>
      <c r="G22" s="17" t="n">
        <v>0</v>
      </c>
      <c r="H22" s="18" t="n">
        <v>2467355</v>
      </c>
      <c r="I22" s="19" t="n">
        <v>0.9705158255494111</v>
      </c>
      <c r="J22" s="15" t="n"/>
    </row>
    <row r="23" ht="26" customHeight="1">
      <c r="B23" s="26" t="inlineStr">
        <is>
          <t>TOTAL DEUDA</t>
        </is>
      </c>
      <c r="F23" s="27" t="n"/>
      <c r="G23" s="27" t="n"/>
      <c r="H23" s="28">
        <f>SUM(H20:H22)</f>
        <v/>
      </c>
      <c r="I23" s="29" t="n">
        <v>1</v>
      </c>
      <c r="J23" s="27" t="n"/>
    </row>
    <row r="26" ht="28" customHeight="1">
      <c r="B26" s="11" t="inlineStr">
        <is>
          <t>CÓMO REGULARIZAR — DATOS PARA TRANSFERENCIA</t>
        </is>
      </c>
    </row>
    <row r="27" ht="30" customHeight="1">
      <c r="B27" s="30" t="inlineStr">
        <is>
          <t>Banco</t>
        </is>
      </c>
      <c r="C27" s="15" t="n"/>
      <c r="D27" s="15" t="n"/>
      <c r="E27" s="31" t="inlineStr">
        <is>
          <t>Santander</t>
        </is>
      </c>
      <c r="F27" s="15" t="n"/>
      <c r="G27" s="15" t="n"/>
      <c r="H27" s="15" t="n"/>
      <c r="I27" s="15" t="n"/>
      <c r="J27" s="15" t="n"/>
    </row>
    <row r="28" ht="30" customHeight="1">
      <c r="B28" s="30" t="inlineStr">
        <is>
          <t>Titular</t>
        </is>
      </c>
      <c r="C28" s="15" t="n"/>
      <c r="D28" s="15" t="n"/>
      <c r="E28" s="31" t="inlineStr">
        <is>
          <t>Climate Smart Leasing SpA</t>
        </is>
      </c>
      <c r="F28" s="15" t="n"/>
      <c r="G28" s="15" t="n"/>
      <c r="H28" s="15" t="n"/>
      <c r="I28" s="15" t="n"/>
      <c r="J28" s="15" t="n"/>
    </row>
    <row r="29" ht="30" customHeight="1">
      <c r="B29" s="30" t="inlineStr">
        <is>
          <t>RUT</t>
        </is>
      </c>
      <c r="C29" s="15" t="n"/>
      <c r="D29" s="15" t="n"/>
      <c r="E29" s="31" t="inlineStr">
        <is>
          <t>77.620.301-4</t>
        </is>
      </c>
      <c r="F29" s="15" t="n"/>
      <c r="G29" s="15" t="n"/>
      <c r="H29" s="15" t="n"/>
      <c r="I29" s="15" t="n"/>
      <c r="J29" s="15" t="n"/>
    </row>
    <row r="30" ht="30" customHeight="1">
      <c r="B30" s="30" t="inlineStr">
        <is>
          <t>Tipo de cuenta</t>
        </is>
      </c>
      <c r="C30" s="15" t="n"/>
      <c r="D30" s="15" t="n"/>
      <c r="E30" s="31" t="inlineStr">
        <is>
          <t>Cuenta corriente</t>
        </is>
      </c>
      <c r="F30" s="15" t="n"/>
      <c r="G30" s="15" t="n"/>
      <c r="H30" s="15" t="n"/>
      <c r="I30" s="15" t="n"/>
      <c r="J30" s="15" t="n"/>
    </row>
    <row r="31" ht="30" customHeight="1">
      <c r="B31" s="30" t="inlineStr">
        <is>
          <t>N° de cuenta</t>
        </is>
      </c>
      <c r="C31" s="15" t="n"/>
      <c r="D31" s="15" t="n"/>
      <c r="E31" s="31" t="inlineStr">
        <is>
          <t>9427891-0</t>
        </is>
      </c>
      <c r="F31" s="15" t="n"/>
      <c r="G31" s="15" t="n"/>
      <c r="H31" s="15" t="n"/>
      <c r="I31" s="15" t="n"/>
      <c r="J31" s="15" t="n"/>
    </row>
    <row r="32" ht="30" customHeight="1">
      <c r="B32" s="30" t="inlineStr">
        <is>
          <t>Email confirmación</t>
        </is>
      </c>
      <c r="C32" s="15" t="n"/>
      <c r="D32" s="15" t="n"/>
      <c r="E32" s="31" t="inlineStr">
        <is>
          <t>nikolasromero@climatesmartleasing.com</t>
        </is>
      </c>
      <c r="F32" s="15" t="n"/>
      <c r="G32" s="15" t="n"/>
      <c r="H32" s="15" t="n"/>
      <c r="I32" s="15" t="n"/>
      <c r="J32" s="15" t="n"/>
    </row>
    <row r="35" ht="24" customHeight="1">
      <c r="B35" s="32" t="inlineStr">
        <is>
          <t>Documento conciliado contra los movimientos de la cuenta Santander N° 9427891-0 · Emitido el 26 de mayo de 2026</t>
        </is>
      </c>
    </row>
    <row r="36" ht="18" customHeight="1">
      <c r="B36" s="33" t="inlineStr">
        <is>
          <t>Climate Smart Leasing SpA · Avenida Chacabuco 485, Of. 302, Concepción · RUT 77.620.301-4</t>
        </is>
      </c>
    </row>
  </sheetData>
  <mergeCells count="42">
    <mergeCell ref="D20:E20"/>
    <mergeCell ref="E28:J28"/>
    <mergeCell ref="D19:E19"/>
    <mergeCell ref="B22:C22"/>
    <mergeCell ref="E31:J31"/>
    <mergeCell ref="B10:J12"/>
    <mergeCell ref="D22:E22"/>
    <mergeCell ref="B29:D29"/>
    <mergeCell ref="B4:J5"/>
    <mergeCell ref="E15:G15"/>
    <mergeCell ref="B13:J13"/>
    <mergeCell ref="E30:J30"/>
    <mergeCell ref="D21:E21"/>
    <mergeCell ref="H16:J16"/>
    <mergeCell ref="B28:D28"/>
    <mergeCell ref="B21:C21"/>
    <mergeCell ref="E27:J27"/>
    <mergeCell ref="B9:J9"/>
    <mergeCell ref="B30:D30"/>
    <mergeCell ref="I22:J22"/>
    <mergeCell ref="B15:D15"/>
    <mergeCell ref="E16:G16"/>
    <mergeCell ref="H15:J15"/>
    <mergeCell ref="B2:J3"/>
    <mergeCell ref="I21:J21"/>
    <mergeCell ref="E32:J32"/>
    <mergeCell ref="B19:C19"/>
    <mergeCell ref="B36:J36"/>
    <mergeCell ref="B32:D32"/>
    <mergeCell ref="B26:J26"/>
    <mergeCell ref="I23:J23"/>
    <mergeCell ref="B35:J35"/>
    <mergeCell ref="B16:D16"/>
    <mergeCell ref="B23:E23"/>
    <mergeCell ref="I20:J20"/>
    <mergeCell ref="B31:D31"/>
    <mergeCell ref="B20:C20"/>
    <mergeCell ref="B6:J7"/>
    <mergeCell ref="I19:J19"/>
    <mergeCell ref="B27:D27"/>
    <mergeCell ref="B18:J18"/>
    <mergeCell ref="E29:J29"/>
  </mergeCells>
  <pageMargins left="0.4" right="0.4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30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22" customWidth="1" min="3" max="3"/>
    <col width="14" customWidth="1" min="4" max="4"/>
    <col width="14" customWidth="1" min="5" max="5"/>
    <col width="14" customWidth="1" min="6" max="6"/>
    <col width="11" customWidth="1" min="7" max="7"/>
    <col width="32" customWidth="1" min="8" max="8"/>
    <col width="2" customWidth="1" min="9" max="9"/>
  </cols>
  <sheetData>
    <row r="2" ht="32" customHeight="1">
      <c r="B2" s="34" t="inlineStr">
        <is>
          <t>TODAS LAS CUOTAS DEL CONTRATO — SISTEMA ACS</t>
        </is>
      </c>
    </row>
    <row r="3" ht="20" customHeight="1">
      <c r="B3" s="35" t="inlineStr">
        <is>
          <t>24 cuotas en total · Las cuotas pasadas muestran el pago real recibido · Las cuotas futuras son proyectadas</t>
        </is>
      </c>
    </row>
    <row r="5" ht="24" customHeight="1">
      <c r="B5" s="12" t="inlineStr">
        <is>
          <t>Mes</t>
        </is>
      </c>
      <c r="C5" s="12" t="inlineStr">
        <is>
          <t>Concepto</t>
        </is>
      </c>
      <c r="D5" s="13" t="inlineStr">
        <is>
          <t>Facturado</t>
        </is>
      </c>
      <c r="E5" s="13" t="inlineStr">
        <is>
          <t>Pagado</t>
        </is>
      </c>
      <c r="F5" s="13" t="inlineStr">
        <is>
          <t>Deuda</t>
        </is>
      </c>
      <c r="G5" s="36" t="inlineStr">
        <is>
          <t>Estado</t>
        </is>
      </c>
      <c r="H5" s="12" t="inlineStr">
        <is>
          <t>Observación</t>
        </is>
      </c>
    </row>
    <row r="6" ht="22" customHeight="1">
      <c r="B6" s="14" t="inlineStr">
        <is>
          <t>2026-02</t>
        </is>
      </c>
      <c r="C6" s="16" t="inlineStr">
        <is>
          <t>Renta cuota 1/24</t>
        </is>
      </c>
      <c r="D6" s="17" t="n">
        <v>22455575</v>
      </c>
      <c r="E6" s="37" t="n">
        <v>20000000</v>
      </c>
      <c r="F6" s="18">
        <f>D6-IF(ISNUMBER(E6),E6,0)</f>
        <v/>
      </c>
      <c r="G6" s="38" t="inlineStr">
        <is>
          <t>Parcial</t>
        </is>
      </c>
      <c r="H6" s="39" t="inlineStr">
        <is>
          <t>Anticipo $20MM PAGADO el 03-feb-2026</t>
        </is>
      </c>
    </row>
    <row r="7" ht="22" customHeight="1">
      <c r="B7" s="20" t="inlineStr">
        <is>
          <t>2026-03</t>
        </is>
      </c>
      <c r="C7" s="22" t="inlineStr">
        <is>
          <t>Renta cuota 2/24</t>
        </is>
      </c>
      <c r="D7" s="23" t="n">
        <v>2461095</v>
      </c>
      <c r="E7" s="40" t="n">
        <v>0</v>
      </c>
      <c r="F7" s="24">
        <f>D7-IF(ISNUMBER(E7),E7,0)</f>
        <v/>
      </c>
      <c r="G7" s="41" t="inlineStr">
        <is>
          <t>Pendiente</t>
        </is>
      </c>
      <c r="H7" s="42" t="inlineStr">
        <is>
          <t>NO SE RECIBIÓ NINGÚN PAGO ESTE MES</t>
        </is>
      </c>
    </row>
    <row r="8" ht="22" customHeight="1">
      <c r="B8" s="14" t="inlineStr">
        <is>
          <t>2026-04</t>
        </is>
      </c>
      <c r="C8" s="16" t="inlineStr">
        <is>
          <t>Renta cuota 3/24</t>
        </is>
      </c>
      <c r="D8" s="17" t="n">
        <v>2467355</v>
      </c>
      <c r="E8" s="43" t="n">
        <v>0</v>
      </c>
      <c r="F8" s="18">
        <f>D8-IF(ISNUMBER(E8),E8,0)</f>
        <v/>
      </c>
      <c r="G8" s="44" t="inlineStr">
        <is>
          <t>Pendiente</t>
        </is>
      </c>
      <c r="H8" s="39" t="inlineStr">
        <is>
          <t>NO SE RECIBIÓ NINGÚN PAGO ESTE MES</t>
        </is>
      </c>
    </row>
    <row r="9" ht="22" customHeight="1">
      <c r="B9" s="20" t="inlineStr">
        <is>
          <t>2026-05</t>
        </is>
      </c>
      <c r="C9" s="22" t="inlineStr">
        <is>
          <t>Renta cuota 4/24</t>
        </is>
      </c>
      <c r="D9" s="23" t="n">
        <v>2473222</v>
      </c>
      <c r="E9" s="45" t="n">
        <v>7314934</v>
      </c>
      <c r="F9" s="23">
        <f>D9-IF(ISNUMBER(E9),E9,0)</f>
        <v/>
      </c>
      <c r="G9" s="46" t="inlineStr">
        <is>
          <t>Pagada</t>
        </is>
      </c>
      <c r="H9" s="42" t="inlineStr">
        <is>
          <t>3 transf. en mayo ($2,43M + $2,43M + $2,45M)</t>
        </is>
      </c>
    </row>
    <row r="10" ht="22" customHeight="1">
      <c r="B10" s="47" t="inlineStr">
        <is>
          <t>2026-06</t>
        </is>
      </c>
      <c r="C10" s="47" t="inlineStr">
        <is>
          <t>Renta cuota 5/24</t>
        </is>
      </c>
      <c r="D10" s="48" t="n">
        <v>2480642</v>
      </c>
      <c r="E10" s="49" t="inlineStr">
        <is>
          <t>—</t>
        </is>
      </c>
      <c r="F10" s="49" t="inlineStr">
        <is>
          <t>—</t>
        </is>
      </c>
      <c r="G10" s="50" t="inlineStr">
        <is>
          <t>Por vencer</t>
        </is>
      </c>
      <c r="H10" s="51" t="inlineStr">
        <is>
          <t>Cuota futura (proyección)</t>
        </is>
      </c>
    </row>
    <row r="11" ht="22" customHeight="1">
      <c r="B11" s="47" t="inlineStr">
        <is>
          <t>2026-07</t>
        </is>
      </c>
      <c r="C11" s="47" t="inlineStr">
        <is>
          <t>Renta cuota 6/24</t>
        </is>
      </c>
      <c r="D11" s="48" t="n">
        <v>2488084</v>
      </c>
      <c r="E11" s="49" t="inlineStr">
        <is>
          <t>—</t>
        </is>
      </c>
      <c r="F11" s="49" t="inlineStr">
        <is>
          <t>—</t>
        </is>
      </c>
      <c r="G11" s="50" t="inlineStr">
        <is>
          <t>Por vencer</t>
        </is>
      </c>
      <c r="H11" s="51" t="inlineStr">
        <is>
          <t>Cuota futura (proyección)</t>
        </is>
      </c>
    </row>
    <row r="12" ht="22" customHeight="1">
      <c r="B12" s="47" t="inlineStr">
        <is>
          <t>2026-08</t>
        </is>
      </c>
      <c r="C12" s="47" t="inlineStr">
        <is>
          <t>Renta cuota 7/24</t>
        </is>
      </c>
      <c r="D12" s="48" t="n">
        <v>2495548</v>
      </c>
      <c r="E12" s="49" t="inlineStr">
        <is>
          <t>—</t>
        </is>
      </c>
      <c r="F12" s="49" t="inlineStr">
        <is>
          <t>—</t>
        </is>
      </c>
      <c r="G12" s="50" t="inlineStr">
        <is>
          <t>Por vencer</t>
        </is>
      </c>
      <c r="H12" s="51" t="inlineStr">
        <is>
          <t>Cuota futura (proyección)</t>
        </is>
      </c>
    </row>
    <row r="13" ht="22" customHeight="1">
      <c r="B13" s="47" t="inlineStr">
        <is>
          <t>2026-09</t>
        </is>
      </c>
      <c r="C13" s="47" t="inlineStr">
        <is>
          <t>Renta cuota 8/24</t>
        </is>
      </c>
      <c r="D13" s="48" t="n">
        <v>2503034</v>
      </c>
      <c r="E13" s="49" t="inlineStr">
        <is>
          <t>—</t>
        </is>
      </c>
      <c r="F13" s="49" t="inlineStr">
        <is>
          <t>—</t>
        </is>
      </c>
      <c r="G13" s="50" t="inlineStr">
        <is>
          <t>Por vencer</t>
        </is>
      </c>
      <c r="H13" s="51" t="inlineStr">
        <is>
          <t>Cuota futura (proyección)</t>
        </is>
      </c>
    </row>
    <row r="14" ht="22" customHeight="1">
      <c r="B14" s="47" t="inlineStr">
        <is>
          <t>2026-10</t>
        </is>
      </c>
      <c r="C14" s="47" t="inlineStr">
        <is>
          <t>Renta cuota 9/24</t>
        </is>
      </c>
      <c r="D14" s="48" t="n">
        <v>2510544</v>
      </c>
      <c r="E14" s="49" t="inlineStr">
        <is>
          <t>—</t>
        </is>
      </c>
      <c r="F14" s="49" t="inlineStr">
        <is>
          <t>—</t>
        </is>
      </c>
      <c r="G14" s="50" t="inlineStr">
        <is>
          <t>Por vencer</t>
        </is>
      </c>
      <c r="H14" s="51" t="inlineStr">
        <is>
          <t>Cuota futura (proyección)</t>
        </is>
      </c>
    </row>
    <row r="15" ht="22" customHeight="1">
      <c r="B15" s="47" t="inlineStr">
        <is>
          <t>2026-11</t>
        </is>
      </c>
      <c r="C15" s="47" t="inlineStr">
        <is>
          <t>Renta cuota 10/24</t>
        </is>
      </c>
      <c r="D15" s="48" t="n">
        <v>2518075</v>
      </c>
      <c r="E15" s="49" t="inlineStr">
        <is>
          <t>—</t>
        </is>
      </c>
      <c r="F15" s="49" t="inlineStr">
        <is>
          <t>—</t>
        </is>
      </c>
      <c r="G15" s="50" t="inlineStr">
        <is>
          <t>Por vencer</t>
        </is>
      </c>
      <c r="H15" s="51" t="inlineStr">
        <is>
          <t>Cuota futura (proyección)</t>
        </is>
      </c>
    </row>
    <row r="16" ht="22" customHeight="1">
      <c r="B16" s="47" t="inlineStr">
        <is>
          <t>2026-12</t>
        </is>
      </c>
      <c r="C16" s="47" t="inlineStr">
        <is>
          <t>Renta cuota 11/24</t>
        </is>
      </c>
      <c r="D16" s="48" t="n">
        <v>2525629</v>
      </c>
      <c r="E16" s="49" t="inlineStr">
        <is>
          <t>—</t>
        </is>
      </c>
      <c r="F16" s="49" t="inlineStr">
        <is>
          <t>—</t>
        </is>
      </c>
      <c r="G16" s="50" t="inlineStr">
        <is>
          <t>Por vencer</t>
        </is>
      </c>
      <c r="H16" s="51" t="inlineStr">
        <is>
          <t>Cuota futura (proyección)</t>
        </is>
      </c>
    </row>
    <row r="17" ht="22" customHeight="1">
      <c r="B17" s="47" t="inlineStr">
        <is>
          <t>2027-01</t>
        </is>
      </c>
      <c r="C17" s="47" t="inlineStr">
        <is>
          <t>Renta cuota 12/24</t>
        </is>
      </c>
      <c r="D17" s="48" t="n">
        <v>2533206</v>
      </c>
      <c r="E17" s="49" t="inlineStr">
        <is>
          <t>—</t>
        </is>
      </c>
      <c r="F17" s="49" t="inlineStr">
        <is>
          <t>—</t>
        </is>
      </c>
      <c r="G17" s="50" t="inlineStr">
        <is>
          <t>Por vencer</t>
        </is>
      </c>
      <c r="H17" s="51" t="inlineStr">
        <is>
          <t>Cuota futura (proyección)</t>
        </is>
      </c>
    </row>
    <row r="18" ht="22" customHeight="1">
      <c r="B18" s="47" t="inlineStr">
        <is>
          <t>2027-02</t>
        </is>
      </c>
      <c r="C18" s="47" t="inlineStr">
        <is>
          <t>Renta cuota 13/24</t>
        </is>
      </c>
      <c r="D18" s="48" t="n">
        <v>2540806</v>
      </c>
      <c r="E18" s="49" t="inlineStr">
        <is>
          <t>—</t>
        </is>
      </c>
      <c r="F18" s="49" t="inlineStr">
        <is>
          <t>—</t>
        </is>
      </c>
      <c r="G18" s="50" t="inlineStr">
        <is>
          <t>Por vencer</t>
        </is>
      </c>
      <c r="H18" s="51" t="inlineStr">
        <is>
          <t>Cuota futura (proyección)</t>
        </is>
      </c>
    </row>
    <row r="19" ht="22" customHeight="1">
      <c r="B19" s="47" t="inlineStr">
        <is>
          <t>2027-03</t>
        </is>
      </c>
      <c r="C19" s="47" t="inlineStr">
        <is>
          <t>Renta cuota 14/24</t>
        </is>
      </c>
      <c r="D19" s="48" t="n">
        <v>2548428</v>
      </c>
      <c r="E19" s="49" t="inlineStr">
        <is>
          <t>—</t>
        </is>
      </c>
      <c r="F19" s="49" t="inlineStr">
        <is>
          <t>—</t>
        </is>
      </c>
      <c r="G19" s="50" t="inlineStr">
        <is>
          <t>Por vencer</t>
        </is>
      </c>
      <c r="H19" s="51" t="inlineStr">
        <is>
          <t>Cuota futura (proyección)</t>
        </is>
      </c>
    </row>
    <row r="20" ht="22" customHeight="1">
      <c r="B20" s="47" t="inlineStr">
        <is>
          <t>2027-04</t>
        </is>
      </c>
      <c r="C20" s="47" t="inlineStr">
        <is>
          <t>Renta cuota 15/24</t>
        </is>
      </c>
      <c r="D20" s="48" t="n">
        <v>2556074</v>
      </c>
      <c r="E20" s="49" t="inlineStr">
        <is>
          <t>—</t>
        </is>
      </c>
      <c r="F20" s="49" t="inlineStr">
        <is>
          <t>—</t>
        </is>
      </c>
      <c r="G20" s="50" t="inlineStr">
        <is>
          <t>Por vencer</t>
        </is>
      </c>
      <c r="H20" s="51" t="inlineStr">
        <is>
          <t>Cuota futura (proyección)</t>
        </is>
      </c>
    </row>
    <row r="21" ht="22" customHeight="1">
      <c r="B21" s="47" t="inlineStr">
        <is>
          <t>2027-05</t>
        </is>
      </c>
      <c r="C21" s="47" t="inlineStr">
        <is>
          <t>Renta cuota 16/24</t>
        </is>
      </c>
      <c r="D21" s="48" t="n">
        <v>2563742</v>
      </c>
      <c r="E21" s="49" t="inlineStr">
        <is>
          <t>—</t>
        </is>
      </c>
      <c r="F21" s="49" t="inlineStr">
        <is>
          <t>—</t>
        </is>
      </c>
      <c r="G21" s="50" t="inlineStr">
        <is>
          <t>Por vencer</t>
        </is>
      </c>
      <c r="H21" s="51" t="inlineStr">
        <is>
          <t>Cuota futura (proyección)</t>
        </is>
      </c>
    </row>
    <row r="22" ht="22" customHeight="1">
      <c r="B22" s="47" t="inlineStr">
        <is>
          <t>2027-06</t>
        </is>
      </c>
      <c r="C22" s="47" t="inlineStr">
        <is>
          <t>Renta cuota 17/24</t>
        </is>
      </c>
      <c r="D22" s="48" t="n">
        <v>2571433</v>
      </c>
      <c r="E22" s="49" t="inlineStr">
        <is>
          <t>—</t>
        </is>
      </c>
      <c r="F22" s="49" t="inlineStr">
        <is>
          <t>—</t>
        </is>
      </c>
      <c r="G22" s="50" t="inlineStr">
        <is>
          <t>Por vencer</t>
        </is>
      </c>
      <c r="H22" s="51" t="inlineStr">
        <is>
          <t>Cuota futura (proyección)</t>
        </is>
      </c>
    </row>
    <row r="23" ht="22" customHeight="1">
      <c r="B23" s="47" t="inlineStr">
        <is>
          <t>2027-07</t>
        </is>
      </c>
      <c r="C23" s="47" t="inlineStr">
        <is>
          <t>Renta cuota 18/24</t>
        </is>
      </c>
      <c r="D23" s="48" t="n">
        <v>2579147</v>
      </c>
      <c r="E23" s="49" t="inlineStr">
        <is>
          <t>—</t>
        </is>
      </c>
      <c r="F23" s="49" t="inlineStr">
        <is>
          <t>—</t>
        </is>
      </c>
      <c r="G23" s="50" t="inlineStr">
        <is>
          <t>Por vencer</t>
        </is>
      </c>
      <c r="H23" s="51" t="inlineStr">
        <is>
          <t>Cuota futura (proyección)</t>
        </is>
      </c>
    </row>
    <row r="24" ht="22" customHeight="1">
      <c r="B24" s="47" t="inlineStr">
        <is>
          <t>2027-08</t>
        </is>
      </c>
      <c r="C24" s="47" t="inlineStr">
        <is>
          <t>Renta cuota 19/24</t>
        </is>
      </c>
      <c r="D24" s="48" t="n">
        <v>2586885</v>
      </c>
      <c r="E24" s="49" t="inlineStr">
        <is>
          <t>—</t>
        </is>
      </c>
      <c r="F24" s="49" t="inlineStr">
        <is>
          <t>—</t>
        </is>
      </c>
      <c r="G24" s="50" t="inlineStr">
        <is>
          <t>Por vencer</t>
        </is>
      </c>
      <c r="H24" s="51" t="inlineStr">
        <is>
          <t>Cuota futura (proyección)</t>
        </is>
      </c>
    </row>
    <row r="25" ht="22" customHeight="1">
      <c r="B25" s="47" t="inlineStr">
        <is>
          <t>2027-09</t>
        </is>
      </c>
      <c r="C25" s="47" t="inlineStr">
        <is>
          <t>Renta cuota 20/24</t>
        </is>
      </c>
      <c r="D25" s="48" t="n">
        <v>2594645</v>
      </c>
      <c r="E25" s="49" t="inlineStr">
        <is>
          <t>—</t>
        </is>
      </c>
      <c r="F25" s="49" t="inlineStr">
        <is>
          <t>—</t>
        </is>
      </c>
      <c r="G25" s="50" t="inlineStr">
        <is>
          <t>Por vencer</t>
        </is>
      </c>
      <c r="H25" s="51" t="inlineStr">
        <is>
          <t>Cuota futura (proyección)</t>
        </is>
      </c>
    </row>
    <row r="26" ht="22" customHeight="1">
      <c r="B26" s="47" t="inlineStr">
        <is>
          <t>2027-10</t>
        </is>
      </c>
      <c r="C26" s="47" t="inlineStr">
        <is>
          <t>Renta cuota 21/24</t>
        </is>
      </c>
      <c r="D26" s="48" t="n">
        <v>2602429</v>
      </c>
      <c r="E26" s="49" t="inlineStr">
        <is>
          <t>—</t>
        </is>
      </c>
      <c r="F26" s="49" t="inlineStr">
        <is>
          <t>—</t>
        </is>
      </c>
      <c r="G26" s="50" t="inlineStr">
        <is>
          <t>Por vencer</t>
        </is>
      </c>
      <c r="H26" s="51" t="inlineStr">
        <is>
          <t>Cuota futura (proyección)</t>
        </is>
      </c>
    </row>
    <row r="27" ht="22" customHeight="1">
      <c r="B27" s="47" t="inlineStr">
        <is>
          <t>2027-11</t>
        </is>
      </c>
      <c r="C27" s="47" t="inlineStr">
        <is>
          <t>Renta cuota 22/24</t>
        </is>
      </c>
      <c r="D27" s="48" t="n">
        <v>2610237</v>
      </c>
      <c r="E27" s="49" t="inlineStr">
        <is>
          <t>—</t>
        </is>
      </c>
      <c r="F27" s="49" t="inlineStr">
        <is>
          <t>—</t>
        </is>
      </c>
      <c r="G27" s="50" t="inlineStr">
        <is>
          <t>Por vencer</t>
        </is>
      </c>
      <c r="H27" s="51" t="inlineStr">
        <is>
          <t>Cuota futura (proyección)</t>
        </is>
      </c>
    </row>
    <row r="28" ht="22" customHeight="1">
      <c r="B28" s="47" t="inlineStr">
        <is>
          <t>2027-12</t>
        </is>
      </c>
      <c r="C28" s="47" t="inlineStr">
        <is>
          <t>Renta cuota 23/24</t>
        </is>
      </c>
      <c r="D28" s="48" t="n">
        <v>2618067</v>
      </c>
      <c r="E28" s="49" t="inlineStr">
        <is>
          <t>—</t>
        </is>
      </c>
      <c r="F28" s="49" t="inlineStr">
        <is>
          <t>—</t>
        </is>
      </c>
      <c r="G28" s="50" t="inlineStr">
        <is>
          <t>Por vencer</t>
        </is>
      </c>
      <c r="H28" s="51" t="inlineStr">
        <is>
          <t>Cuota futura (proyección)</t>
        </is>
      </c>
    </row>
    <row r="29" ht="22" customHeight="1">
      <c r="B29" s="47" t="inlineStr">
        <is>
          <t>2028-01</t>
        </is>
      </c>
      <c r="C29" s="47" t="inlineStr">
        <is>
          <t>Renta cuota 24/24</t>
        </is>
      </c>
      <c r="D29" s="48" t="n">
        <v>2625922</v>
      </c>
      <c r="E29" s="49" t="inlineStr">
        <is>
          <t>—</t>
        </is>
      </c>
      <c r="F29" s="49" t="inlineStr">
        <is>
          <t>—</t>
        </is>
      </c>
      <c r="G29" s="50" t="inlineStr">
        <is>
          <t>Por vencer</t>
        </is>
      </c>
      <c r="H29" s="51" t="inlineStr">
        <is>
          <t>Cuota futura (proyección)</t>
        </is>
      </c>
    </row>
    <row r="30" ht="24" customHeight="1">
      <c r="B30" s="26" t="inlineStr">
        <is>
          <t>TOTAL</t>
        </is>
      </c>
      <c r="C30" s="52" t="inlineStr">
        <is>
          <t>24 cuotas</t>
        </is>
      </c>
      <c r="D30" s="53">
        <f>SUM(D6:D29)</f>
        <v/>
      </c>
      <c r="E30" s="53">
        <f>SUMIF(E6:E29,"&gt;0")</f>
        <v/>
      </c>
      <c r="F30" s="53">
        <f>SUMIF(F6:F29,"&gt;0")</f>
        <v/>
      </c>
      <c r="G30" s="27" t="n"/>
      <c r="H30" s="27" t="n"/>
    </row>
  </sheetData>
  <mergeCells count="2">
    <mergeCell ref="B3:H3"/>
    <mergeCell ref="B2:H2"/>
  </mergeCells>
  <pageMargins left="0.4" right="0.4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10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45" customWidth="1" min="3" max="3"/>
    <col width="16" customWidth="1" min="4" max="4"/>
    <col width="12" customWidth="1" min="5" max="5"/>
    <col width="32" customWidth="1" min="6" max="6"/>
    <col width="2" customWidth="1" min="7" max="7"/>
  </cols>
  <sheetData>
    <row r="2" ht="32" customHeight="1">
      <c r="B2" s="34" t="inlineStr">
        <is>
          <t>PAGOS RECIBIDOS — SISTEMA ACS</t>
        </is>
      </c>
    </row>
    <row r="3" ht="20" customHeight="1">
      <c r="B3" s="35" t="inlineStr">
        <is>
          <t>Cada fila representa una transferencia recibida en la cuenta Santander N° 9427891-0</t>
        </is>
      </c>
    </row>
    <row r="5" ht="24" customHeight="1">
      <c r="B5" s="12" t="inlineStr">
        <is>
          <t>Fecha</t>
        </is>
      </c>
      <c r="C5" s="12" t="inlineStr">
        <is>
          <t>Glosa cartola Santander</t>
        </is>
      </c>
      <c r="D5" s="13" t="inlineStr">
        <is>
          <t>Monto</t>
        </is>
      </c>
      <c r="E5" s="12" t="inlineStr">
        <is>
          <t>Período</t>
        </is>
      </c>
      <c r="F5" s="12" t="inlineStr">
        <is>
          <t>Aplicación</t>
        </is>
      </c>
    </row>
    <row r="6" ht="22" customHeight="1">
      <c r="B6" s="54" t="inlineStr">
        <is>
          <t>2026-02-03</t>
        </is>
      </c>
      <c r="C6" s="16" t="inlineStr">
        <is>
          <t>Transf. Edificio los Vikingos</t>
        </is>
      </c>
      <c r="D6" s="55" t="n">
        <v>20000000</v>
      </c>
      <c r="E6" s="16" t="inlineStr">
        <is>
          <t>Feb-2026</t>
        </is>
      </c>
      <c r="F6" s="39" t="inlineStr">
        <is>
          <t>Anticipo $20MM — Cuota 1/24</t>
        </is>
      </c>
    </row>
    <row r="7" ht="22" customHeight="1">
      <c r="B7" s="56" t="inlineStr">
        <is>
          <t>2026-05-05</t>
        </is>
      </c>
      <c r="C7" s="22" t="inlineStr">
        <is>
          <t>Transf. Edificio Los Vikingos</t>
        </is>
      </c>
      <c r="D7" s="57" t="n">
        <v>2430357</v>
      </c>
      <c r="E7" s="22" t="inlineStr">
        <is>
          <t>May-2026</t>
        </is>
      </c>
      <c r="F7" s="42" t="inlineStr">
        <is>
          <t>Cuota 4/24 (parcial)</t>
        </is>
      </c>
    </row>
    <row r="8" ht="22" customHeight="1">
      <c r="B8" s="54" t="inlineStr">
        <is>
          <t>2026-05-06</t>
        </is>
      </c>
      <c r="C8" s="16" t="inlineStr">
        <is>
          <t>Transf. Edificio Los Vikingos</t>
        </is>
      </c>
      <c r="D8" s="55" t="n">
        <v>2431760</v>
      </c>
      <c r="E8" s="16" t="inlineStr">
        <is>
          <t>May-2026</t>
        </is>
      </c>
      <c r="F8" s="39" t="inlineStr">
        <is>
          <t>Cuota 4/24 (parcial)</t>
        </is>
      </c>
    </row>
    <row r="9" ht="22" customHeight="1">
      <c r="B9" s="56" t="inlineStr">
        <is>
          <t>2026-05-12</t>
        </is>
      </c>
      <c r="C9" s="22" t="inlineStr">
        <is>
          <t>Transf. Edificio Los Vikingos</t>
        </is>
      </c>
      <c r="D9" s="57" t="n">
        <v>2452817</v>
      </c>
      <c r="E9" s="22" t="inlineStr">
        <is>
          <t>May-2026</t>
        </is>
      </c>
      <c r="F9" s="42" t="inlineStr">
        <is>
          <t>Cuota 4/24 (parcial)</t>
        </is>
      </c>
    </row>
    <row r="10" ht="26" customHeight="1">
      <c r="B10" s="26" t="inlineStr">
        <is>
          <t>TOTAL RECIBIDO</t>
        </is>
      </c>
      <c r="C10" s="52" t="inlineStr">
        <is>
          <t>4 transferencias</t>
        </is>
      </c>
      <c r="D10" s="28">
        <f>SUM(D6:D9)</f>
        <v/>
      </c>
      <c r="E10" s="27" t="n"/>
      <c r="F10" s="27" t="n"/>
    </row>
  </sheetData>
  <mergeCells count="2">
    <mergeCell ref="B2:F2"/>
    <mergeCell ref="B3:F3"/>
  </mergeCells>
  <pageMargins left="0.4" right="0.4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2026-05-26T22:15:00Z</dcterms:created>
  <dcterms:modified xmlns:dcterms="http://purl.org/dc/terms/" xmlns:xsi="http://www.w3.org/2001/XMLSchema-instance" xsi:type="dcterms:W3CDTF">2026-05-26T22:15:00Z</dcterms:modified>
</cp:coreProperties>
</file>