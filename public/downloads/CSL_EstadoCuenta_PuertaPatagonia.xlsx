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Todas las cuotas" sheetId="2" state="visible" r:id="rId4"/>
    <sheet name="Pagos recibidos" sheetId="3" state="visible" r:id="rId5"/>
    <sheet name="Base legal del recálcul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<sst xmlns="http://schemas.openxmlformats.org/spreadsheetml/2006/main" count="335" uniqueCount="177">
  <si>
    <t xml:space="preserve">ESTADO DE CUENTA — VERSIÓN RECTIFICADA</t>
  </si>
  <si>
    <t xml:space="preserve">Comunidad Edificio Puerta Patagonia Habitacional</t>
  </si>
  <si>
    <t xml:space="preserve">Contrato Calderas Vilanova · RUT 53.319.273-4 · Conciliado al 12 de mayo de 2026</t>
  </si>
  <si>
    <t xml:space="preserve">⚠ DOCUMENTO RECTIFICADO: estado de cuenta ajustado al considerar la fecha de recepción definitiva del proyecto (02 de abril de 2026), conforme a Cláusula Tercera del contrato («La primera renta se pagará junto con el inicio de los trabajos»).</t>
  </si>
  <si>
    <t xml:space="preserve">SALDO PENDIENTE AL 12-MAY-2026</t>
  </si>
  <si>
    <t xml:space="preserve">De los cuales solo $1,583,621 están vencidos; la renta de mayo ($3,204,847) está dentro del plazo de pago.</t>
  </si>
  <si>
    <t xml:space="preserve">Facturado a la fecha</t>
  </si>
  <si>
    <t xml:space="preserve">Total recibido</t>
  </si>
  <si>
    <t xml:space="preserve">Cumplimiento</t>
  </si>
  <si>
    <t xml:space="preserve">¿DE DÓNDE VIENE LA DEUDA?</t>
  </si>
  <si>
    <t xml:space="preserve">Mes</t>
  </si>
  <si>
    <t xml:space="preserve">Concepto</t>
  </si>
  <si>
    <t xml:space="preserve">Facturado</t>
  </si>
  <si>
    <t xml:space="preserve">Pagado</t>
  </si>
  <si>
    <t xml:space="preserve">Saldo</t>
  </si>
  <si>
    <t xml:space="preserve">Estado</t>
  </si>
  <si>
    <t xml:space="preserve">2026-01</t>
  </si>
  <si>
    <t xml:space="preserve">Anticipo cuota 2/6</t>
  </si>
  <si>
    <t xml:space="preserve">Pendiente</t>
  </si>
  <si>
    <t xml:space="preserve">2026-04</t>
  </si>
  <si>
    <t xml:space="preserve">Anticipo cuota 5/6</t>
  </si>
  <si>
    <t xml:space="preserve">Parcial</t>
  </si>
  <si>
    <t xml:space="preserve">2026-05</t>
  </si>
  <si>
    <t xml:space="preserve">Renta cuota 1/36</t>
  </si>
  <si>
    <t xml:space="preserve">En plazo</t>
  </si>
  <si>
    <t xml:space="preserve">TOTAL DEUDA</t>
  </si>
  <si>
    <t xml:space="preserve">CÓMO REGULARIZAR — DATOS PARA TRANSFERENCIA</t>
  </si>
  <si>
    <t xml:space="preserve">Banco</t>
  </si>
  <si>
    <t xml:space="preserve">Santander</t>
  </si>
  <si>
    <t xml:space="preserve">Titular</t>
  </si>
  <si>
    <t xml:space="preserve">Climate Smart Leasing SpA</t>
  </si>
  <si>
    <t xml:space="preserve">RUT</t>
  </si>
  <si>
    <t xml:space="preserve">77.620.301-4</t>
  </si>
  <si>
    <t xml:space="preserve">Tipo de cuenta</t>
  </si>
  <si>
    <t xml:space="preserve">Cuenta corriente</t>
  </si>
  <si>
    <t xml:space="preserve">N° de cuenta</t>
  </si>
  <si>
    <t xml:space="preserve">9427891-0</t>
  </si>
  <si>
    <t xml:space="preserve">Email confirmación</t>
  </si>
  <si>
    <t xml:space="preserve">nikolasromero@climatesmartleasing.com</t>
  </si>
  <si>
    <t xml:space="preserve">Documento rectificado conciliado contra cuenta Santander N° 9427891-0 · Emitido el 28 de mayo de 2026</t>
  </si>
  <si>
    <t xml:space="preserve">Climate Smart Leasing SpA · Avenida Chacabuco 485, Of. 302, Concepción · RUT 77.620.301-4</t>
  </si>
  <si>
    <t xml:space="preserve">TODAS LAS CUOTAS DEL CONTRATO — CALDERAS VILANOVA</t>
  </si>
  <si>
    <t xml:space="preserve">42 cuotas en total (6 de anticipo + 36 de renta mensual desde mayo 2026)</t>
  </si>
  <si>
    <t xml:space="preserve">Observación</t>
  </si>
  <si>
    <t xml:space="preserve">▼ ANTICIPO PRORRATEADO ($10.000.000 + IVA en 6 cuotas)</t>
  </si>
  <si>
    <t xml:space="preserve">2025-12</t>
  </si>
  <si>
    <t xml:space="preserve">Anticipo cuota 1/6</t>
  </si>
  <si>
    <t xml:space="preserve">Pagada</t>
  </si>
  <si>
    <t xml:space="preserve">Pagada 17-dic-2025</t>
  </si>
  <si>
    <t xml:space="preserve">NO SE RECIBIÓ PAGO ESTE MES</t>
  </si>
  <si>
    <t xml:space="preserve">2026-02</t>
  </si>
  <si>
    <t xml:space="preserve">Anticipo cuota 3/6</t>
  </si>
  <si>
    <t xml:space="preserve">Pagada 20-feb-2026 (con 1 mes de atraso)</t>
  </si>
  <si>
    <t xml:space="preserve">2026-03</t>
  </si>
  <si>
    <t xml:space="preserve">Anticipo cuota 4/6</t>
  </si>
  <si>
    <t xml:space="preserve">Pagada 18-mar-2026 (parte de transf. $3.166.949)</t>
  </si>
  <si>
    <t xml:space="preserve">Pagada parcialmente con saldo de transf. de marzo</t>
  </si>
  <si>
    <t xml:space="preserve">Anticipo cuota 6/6</t>
  </si>
  <si>
    <t xml:space="preserve">Pagada 06-may-2026 + saldo a favor</t>
  </si>
  <si>
    <t xml:space="preserve">▼ RENTA MENSUAL DEL LEASING (desde recepción definitiva — 02-abr-2026)</t>
  </si>
  <si>
    <t xml:space="preserve">Primera renta — factura ~05-may-2026, vence ~20-may-2026 (en plazo)</t>
  </si>
  <si>
    <t xml:space="preserve">2026-06</t>
  </si>
  <si>
    <t xml:space="preserve">Renta cuota 2/36</t>
  </si>
  <si>
    <t xml:space="preserve">—</t>
  </si>
  <si>
    <t xml:space="preserve">Por vencer</t>
  </si>
  <si>
    <t xml:space="preserve">Cuota futura (proyectada al UF de cierre del mes anterior)</t>
  </si>
  <si>
    <t xml:space="preserve">2026-07</t>
  </si>
  <si>
    <t xml:space="preserve">Renta cuota 3/36</t>
  </si>
  <si>
    <t xml:space="preserve">2026-08</t>
  </si>
  <si>
    <t xml:space="preserve">Renta cuota 4/36</t>
  </si>
  <si>
    <t xml:space="preserve">2026-09</t>
  </si>
  <si>
    <t xml:space="preserve">Renta cuota 5/36</t>
  </si>
  <si>
    <t xml:space="preserve">2026-10</t>
  </si>
  <si>
    <t xml:space="preserve">Renta cuota 6/36</t>
  </si>
  <si>
    <t xml:space="preserve">2026-11</t>
  </si>
  <si>
    <t xml:space="preserve">Renta cuota 7/36</t>
  </si>
  <si>
    <t xml:space="preserve">2026-12</t>
  </si>
  <si>
    <t xml:space="preserve">Renta cuota 8/36</t>
  </si>
  <si>
    <t xml:space="preserve">2027-01</t>
  </si>
  <si>
    <t xml:space="preserve">Renta cuota 9/36</t>
  </si>
  <si>
    <t xml:space="preserve">2027-02</t>
  </si>
  <si>
    <t xml:space="preserve">Renta cuota 10/36</t>
  </si>
  <si>
    <t xml:space="preserve">2027-03</t>
  </si>
  <si>
    <t xml:space="preserve">Renta cuota 11/36</t>
  </si>
  <si>
    <t xml:space="preserve">2027-04</t>
  </si>
  <si>
    <t xml:space="preserve">Renta cuota 12/36</t>
  </si>
  <si>
    <t xml:space="preserve">2027-05</t>
  </si>
  <si>
    <t xml:space="preserve">Renta cuota 13/36</t>
  </si>
  <si>
    <t xml:space="preserve">2027-06</t>
  </si>
  <si>
    <t xml:space="preserve">Renta cuota 14/36</t>
  </si>
  <si>
    <t xml:space="preserve">2027-07</t>
  </si>
  <si>
    <t xml:space="preserve">Renta cuota 15/36</t>
  </si>
  <si>
    <t xml:space="preserve">2027-08</t>
  </si>
  <si>
    <t xml:space="preserve">Renta cuota 16/36</t>
  </si>
  <si>
    <t xml:space="preserve">2027-09</t>
  </si>
  <si>
    <t xml:space="preserve">Renta cuota 17/36</t>
  </si>
  <si>
    <t xml:space="preserve">2027-10</t>
  </si>
  <si>
    <t xml:space="preserve">Renta cuota 18/36</t>
  </si>
  <si>
    <t xml:space="preserve">2027-11</t>
  </si>
  <si>
    <t xml:space="preserve">Renta cuota 19/36</t>
  </si>
  <si>
    <t xml:space="preserve">2027-12</t>
  </si>
  <si>
    <t xml:space="preserve">Renta cuota 20/36</t>
  </si>
  <si>
    <t xml:space="preserve">2028-01</t>
  </si>
  <si>
    <t xml:space="preserve">Renta cuota 21/36</t>
  </si>
  <si>
    <t xml:space="preserve">2028-02</t>
  </si>
  <si>
    <t xml:space="preserve">Renta cuota 22/36</t>
  </si>
  <si>
    <t xml:space="preserve">2028-03</t>
  </si>
  <si>
    <t xml:space="preserve">Renta cuota 23/36</t>
  </si>
  <si>
    <t xml:space="preserve">2028-04</t>
  </si>
  <si>
    <t xml:space="preserve">Renta cuota 24/36</t>
  </si>
  <si>
    <t xml:space="preserve">2028-05</t>
  </si>
  <si>
    <t xml:space="preserve">Renta cuota 25/36</t>
  </si>
  <si>
    <t xml:space="preserve">2028-06</t>
  </si>
  <si>
    <t xml:space="preserve">Renta cuota 26/36</t>
  </si>
  <si>
    <t xml:space="preserve">2028-07</t>
  </si>
  <si>
    <t xml:space="preserve">Renta cuota 27/36</t>
  </si>
  <si>
    <t xml:space="preserve">2028-08</t>
  </si>
  <si>
    <t xml:space="preserve">Renta cuota 28/36</t>
  </si>
  <si>
    <t xml:space="preserve">2028-09</t>
  </si>
  <si>
    <t xml:space="preserve">Renta cuota 29/36</t>
  </si>
  <si>
    <t xml:space="preserve">2028-10</t>
  </si>
  <si>
    <t xml:space="preserve">Renta cuota 30/36</t>
  </si>
  <si>
    <t xml:space="preserve">2028-11</t>
  </si>
  <si>
    <t xml:space="preserve">Renta cuota 31/36</t>
  </si>
  <si>
    <t xml:space="preserve">2028-12</t>
  </si>
  <si>
    <t xml:space="preserve">Renta cuota 32/36</t>
  </si>
  <si>
    <t xml:space="preserve">2029-01</t>
  </si>
  <si>
    <t xml:space="preserve">Renta cuota 33/36</t>
  </si>
  <si>
    <t xml:space="preserve">2029-02</t>
  </si>
  <si>
    <t xml:space="preserve">Renta cuota 34/36</t>
  </si>
  <si>
    <t xml:space="preserve">2029-03</t>
  </si>
  <si>
    <t xml:space="preserve">Renta cuota 35/36</t>
  </si>
  <si>
    <t xml:space="preserve">2029-04</t>
  </si>
  <si>
    <t xml:space="preserve">Renta cuota 36/36</t>
  </si>
  <si>
    <t xml:space="preserve">TOTAL</t>
  </si>
  <si>
    <t xml:space="preserve">42 cuotas</t>
  </si>
  <si>
    <t xml:space="preserve">PAGOS RECIBIDOS — CALDERAS VILANOVA</t>
  </si>
  <si>
    <t xml:space="preserve">Cada fila representa una transferencia recibida en la cuenta Santander N° 9427891-0</t>
  </si>
  <si>
    <t xml:space="preserve">Fecha</t>
  </si>
  <si>
    <t xml:space="preserve">Glosa cartola Santander</t>
  </si>
  <si>
    <t xml:space="preserve">Monto</t>
  </si>
  <si>
    <t xml:space="preserve">Período</t>
  </si>
  <si>
    <t xml:space="preserve">Aplicación</t>
  </si>
  <si>
    <t xml:space="preserve">2025-12-17</t>
  </si>
  <si>
    <t xml:space="preserve">Transf. CONDOMINIO PUERTA PATAGONIA (RUT 0533192734)</t>
  </si>
  <si>
    <t xml:space="preserve">Dic-2025</t>
  </si>
  <si>
    <t xml:space="preserve">Anticipo cuota 1/6 — PAGADA completa</t>
  </si>
  <si>
    <t xml:space="preserve">2026-02-20</t>
  </si>
  <si>
    <t xml:space="preserve">Feb-2026</t>
  </si>
  <si>
    <t xml:space="preserve">Anticipo cuota 3/6 — PAGADA completa</t>
  </si>
  <si>
    <t xml:space="preserve">2026-03-18</t>
  </si>
  <si>
    <t xml:space="preserve">Transf. Condominio Puerto Patagonia</t>
  </si>
  <si>
    <t xml:space="preserve">Mar-2026</t>
  </si>
  <si>
    <t xml:space="preserve">Anticipo cuota 4/6 + abono cuota 5/6</t>
  </si>
  <si>
    <t xml:space="preserve">2026-05-06</t>
  </si>
  <si>
    <t xml:space="preserve">May-2026</t>
  </si>
  <si>
    <t xml:space="preserve">Saldo cuota 5/6 + cuota 6/6 + sobrepago</t>
  </si>
  <si>
    <t xml:space="preserve">TOTAL RECIBIDO</t>
  </si>
  <si>
    <t xml:space="preserve">4 transferencias</t>
  </si>
  <si>
    <t xml:space="preserve">BASE LEGAL DEL RECÁLCULO</t>
  </si>
  <si>
    <t xml:space="preserve">Documentos y cláusulas que respaldan la nueva conciliación</t>
  </si>
  <si>
    <t xml:space="preserve">Contrato firmado</t>
  </si>
  <si>
    <t xml:space="preserve">01 de diciembre de 2025 entre Climate Smart Leasing SpA y Comunidad Edificio Puerta Patagonia Habitacional.</t>
  </si>
  <si>
    <t xml:space="preserve">Protocolización</t>
  </si>
  <si>
    <t xml:space="preserve">02 de diciembre de 2025, Notaría Pablo Martínez Loaiza (Primera Notaría de La Reina), Repertorio 70416.</t>
  </si>
  <si>
    <t xml:space="preserve">Cláusula Segunda — Plazo de instalación</t>
  </si>
  <si>
    <t xml:space="preserve">«El plazo de instalación de los equipos será de 2 meses contados desde la fecha del presente Contrato.» (01-dic-2025 → 01-feb-2026 esperado)</t>
  </si>
  <si>
    <t xml:space="preserve">Cláusula Tercera — Precio (clave del recálculo)</t>
  </si>
  <si>
    <t xml:space="preserve">«La primera renta se pagará junto con el inicio de los trabajos.» Esta es la disposición que define cuándo comienza el devengo de la renta mensual.</t>
  </si>
  <si>
    <t xml:space="preserve">Cláusula Quinta — Garantía</t>
  </si>
  <si>
    <t xml:space="preserve">«Los equipos gozan de una garantía de 36 meses, contados a partir de la fecha de la entrega del proyecto terminado, operando de manera conforme.» Refuerza que los plazos del contrato se miden desde la recepción definitiva.</t>
  </si>
  <si>
    <t xml:space="preserve">Carta de recepción definitiva</t>
  </si>
  <si>
    <t xml:space="preserve">Firmada por Juan González Muñoz el 08-abr-2026. Declara expresamente que «con fecha 02 de abril de 2026 se ha realizado la revisión final en terreno y la recepción definitiva de la instalación». Habilita «proceder con los pagos finales comprometidos, según el plan de pagos y conforme a la emisión de las facturas respectivas».</t>
  </si>
  <si>
    <t xml:space="preserve">Interpretación aplicada</t>
  </si>
  <si>
    <t xml:space="preserve">Conforme al principio in dubio pro debitoris (art. 1566 Código Civil) y al texto literal del contrato + carta de recepción: el anticipo prorrateado corre desde dic-2025 (lo cual ambas partes ya entendieron y aplicaron); la renta mensual del leasing inicia su devengo desde mayo-2026, primer mes completo posterior a la recepción definitiva del proyecto.</t>
  </si>
  <si>
    <t xml:space="preserve">Impacto en la conciliación</t>
  </si>
  <si>
    <t xml:space="preserve">La conciliación anterior ($20.887.958) consideraba la renta mensual devengada desde dic-2025, lo cual es inconsistente con la cláusula Tercera leída a la luz de la carta de recepción. La conciliación rectificada arroja un saldo de $4,788,468, del cual solo $1,583,621 se encuentra efectivamente vencido.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</si>
</sst>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($&quot;#,##0\);\—"/>
    <numFmt numFmtId="166" formatCode="0.0%"/>
    <numFmt numFmtId="167" formatCode="yyyy\-mm\-dd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i val="true"/>
      <sz val="10"/>
      <color rgb="FF0369A1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b val="true"/>
      <sz val="56"/>
      <color rgb="FF059669"/>
      <name val="Arial"/>
      <family val="0"/>
      <charset val="1"/>
    </font>
    <font>
      <i val="true"/>
      <sz val="12"/>
      <color rgb="FF475569"/>
      <name val="Arial"/>
      <family val="0"/>
      <charset val="1"/>
    </font>
    <font>
      <b val="true"/>
      <sz val="9"/>
      <color rgb="FF475569"/>
      <name val="Arial"/>
      <family val="0"/>
      <charset val="1"/>
    </font>
    <font>
      <b val="true"/>
      <sz val="20"/>
      <color rgb="FF059669"/>
      <name val="Arial"/>
      <family val="0"/>
      <charset val="1"/>
    </font>
    <font>
      <b val="true"/>
      <sz val="20"/>
      <color rgb="FF16A34A"/>
      <name val="Arial"/>
      <family val="0"/>
      <charset val="1"/>
    </font>
    <font>
      <b val="true"/>
      <sz val="20"/>
      <color rgb="FF047857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0369A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475569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i val="true"/>
      <sz val="9"/>
      <color rgb="FF475569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i val="true"/>
      <sz val="10"/>
      <color rgb="FF047857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sz val="9"/>
      <color rgb="FF475569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0"/>
      <color rgb="FF94A3B8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04785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47857"/>
        <bgColor rgb="FF059669"/>
      </patternFill>
    </fill>
    <fill>
      <patternFill patternType="solid">
        <fgColor rgb="FFEFF6FF"/>
        <bgColor rgb="FFF8FAFC"/>
      </patternFill>
    </fill>
    <fill>
      <patternFill patternType="solid">
        <fgColor rgb="FFECFDF5"/>
        <bgColor rgb="FFEFF6FF"/>
      </patternFill>
    </fill>
    <fill>
      <patternFill patternType="solid">
        <fgColor rgb="FFF8FAFC"/>
        <bgColor rgb="FFFAFAFA"/>
      </patternFill>
    </fill>
    <fill>
      <patternFill patternType="solid">
        <fgColor rgb="FF059669"/>
        <bgColor rgb="FF16A34A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8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0369A1"/>
      </left>
      <right/>
      <top/>
      <bottom/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9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9" fillId="5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5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7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0" fillId="5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2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1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0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2" fillId="8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2" fillId="8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8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4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0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AFAFA"/>
      <rgbColor rgb="FFECFDF5"/>
      <rgbColor rgb="FF660066"/>
      <rgbColor rgb="FFFF8080"/>
      <rgbColor rgb="FF0369A1"/>
      <rgbColor rgb="FFCCCCFF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FF6FF"/>
      <rgbColor rgb="FFE2E8F0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475569"/>
      <rgbColor rgb="FF94A3B8"/>
      <rgbColor rgb="FF003366"/>
      <rgbColor rgb="FF16A34A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8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4"/>
    <col collapsed="false" customWidth="true" hidden="false" outlineLevel="0" max="11" min="11" style="0" width="2"/>
  </cols>
  <sheetData>
    <row r="1" customFormat="false" ht="15.75" hidden="false" customHeight="true" outlineLevel="0" collapsed="false"/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2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</row>
    <row r="4" customFormat="false" ht="36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B5" s="2"/>
      <c r="C5" s="2"/>
      <c r="D5" s="2"/>
      <c r="E5" s="2"/>
      <c r="F5" s="2"/>
      <c r="G5" s="2"/>
      <c r="H5" s="2"/>
      <c r="I5" s="2"/>
      <c r="J5" s="2"/>
    </row>
    <row r="6" customFormat="false" ht="21.75" hidden="false" customHeight="true" outlineLevel="0" collapsed="false">
      <c r="B6" s="3" t="s">
        <v>2</v>
      </c>
      <c r="C6" s="3"/>
      <c r="D6" s="3"/>
      <c r="E6" s="3"/>
      <c r="F6" s="3"/>
      <c r="G6" s="3"/>
      <c r="H6" s="3"/>
      <c r="I6" s="3"/>
      <c r="J6" s="3"/>
    </row>
    <row r="7" customFormat="false" ht="13.5" hidden="false" customHeight="true" outlineLevel="0" collapsed="false">
      <c r="B7" s="3"/>
      <c r="C7" s="3"/>
      <c r="D7" s="3"/>
      <c r="E7" s="3"/>
      <c r="F7" s="3"/>
      <c r="G7" s="3"/>
      <c r="H7" s="3"/>
      <c r="I7" s="3"/>
      <c r="J7" s="3"/>
    </row>
    <row r="9" customFormat="false" ht="21.75" hidden="false" customHeight="true" outlineLevel="0" collapsed="false">
      <c r="B9" s="4" t="s">
        <v>3</v>
      </c>
      <c r="C9" s="4"/>
      <c r="D9" s="4"/>
      <c r="E9" s="4"/>
      <c r="F9" s="4"/>
      <c r="G9" s="4"/>
      <c r="H9" s="4"/>
      <c r="I9" s="4"/>
      <c r="J9" s="4"/>
    </row>
    <row r="10" customFormat="false" ht="21.75" hidden="false" customHeight="true" outlineLevel="0" collapsed="false">
      <c r="B10" s="4"/>
      <c r="C10" s="4"/>
      <c r="D10" s="4"/>
      <c r="E10" s="4"/>
      <c r="F10" s="4"/>
      <c r="G10" s="4"/>
      <c r="H10" s="4"/>
      <c r="I10" s="4"/>
      <c r="J10" s="4"/>
    </row>
    <row r="12" customFormat="false" ht="21.75" hidden="false" customHeight="true" outlineLevel="0" collapsed="false">
      <c r="B12" s="5" t="s">
        <v>4</v>
      </c>
      <c r="C12" s="5"/>
      <c r="D12" s="5"/>
      <c r="E12" s="5"/>
      <c r="F12" s="5"/>
      <c r="G12" s="5"/>
      <c r="H12" s="5"/>
      <c r="I12" s="5"/>
      <c r="J12" s="5"/>
    </row>
    <row r="13" customFormat="false" ht="30" hidden="false" customHeight="true" outlineLevel="0" collapsed="false">
      <c r="B13" s="6" t="n">
        <v>4788468</v>
      </c>
      <c r="C13" s="6"/>
      <c r="D13" s="6"/>
      <c r="E13" s="6"/>
      <c r="F13" s="6"/>
      <c r="G13" s="6"/>
      <c r="H13" s="6"/>
      <c r="I13" s="6"/>
      <c r="J13" s="6"/>
    </row>
    <row r="14" customFormat="false" ht="30" hidden="false" customHeight="true" outlineLevel="0" collapsed="false">
      <c r="B14" s="6"/>
      <c r="C14" s="6"/>
      <c r="D14" s="6"/>
      <c r="E14" s="6"/>
      <c r="F14" s="6"/>
      <c r="G14" s="6"/>
      <c r="H14" s="6"/>
      <c r="I14" s="6"/>
      <c r="J14" s="6"/>
    </row>
    <row r="15" customFormat="false" ht="30" hidden="false" customHeight="true" outlineLevel="0" collapsed="false">
      <c r="B15" s="6"/>
      <c r="C15" s="6"/>
      <c r="D15" s="6"/>
      <c r="E15" s="6"/>
      <c r="F15" s="6"/>
      <c r="G15" s="6"/>
      <c r="H15" s="6"/>
      <c r="I15" s="6"/>
      <c r="J15" s="6"/>
    </row>
    <row r="16" customFormat="false" ht="30" hidden="false" customHeight="true" outlineLevel="0" collapsed="false">
      <c r="B16" s="7" t="s">
        <v>5</v>
      </c>
      <c r="C16" s="7"/>
      <c r="D16" s="7"/>
      <c r="E16" s="7"/>
      <c r="F16" s="7"/>
      <c r="G16" s="7"/>
      <c r="H16" s="7"/>
      <c r="I16" s="7"/>
      <c r="J16" s="7"/>
    </row>
    <row r="18" customFormat="false" ht="18" hidden="false" customHeight="true" outlineLevel="0" collapsed="false">
      <c r="B18" s="8" t="s">
        <v>6</v>
      </c>
      <c r="C18" s="8"/>
      <c r="D18" s="8"/>
      <c r="E18" s="8" t="s">
        <v>7</v>
      </c>
      <c r="F18" s="8"/>
      <c r="G18" s="8"/>
      <c r="H18" s="8" t="s">
        <v>8</v>
      </c>
      <c r="I18" s="8"/>
      <c r="J18" s="8"/>
    </row>
    <row r="19" customFormat="false" ht="36" hidden="false" customHeight="true" outlineLevel="0" collapsed="false">
      <c r="B19" s="9" t="n">
        <v>15104851</v>
      </c>
      <c r="C19" s="9"/>
      <c r="D19" s="9"/>
      <c r="E19" s="10" t="n">
        <v>10316383</v>
      </c>
      <c r="F19" s="10"/>
      <c r="G19" s="10"/>
      <c r="H19" s="11" t="n">
        <v>0.682984757678179</v>
      </c>
      <c r="I19" s="11"/>
      <c r="J19" s="11"/>
    </row>
    <row r="21" customFormat="false" ht="27.75" hidden="false" customHeight="true" outlineLevel="0" collapsed="false">
      <c r="B21" s="12" t="s">
        <v>9</v>
      </c>
      <c r="C21" s="12"/>
      <c r="D21" s="12"/>
      <c r="E21" s="12"/>
      <c r="F21" s="12"/>
      <c r="G21" s="12"/>
      <c r="H21" s="12"/>
      <c r="I21" s="12"/>
      <c r="J21" s="12"/>
    </row>
    <row r="22" customFormat="false" ht="24" hidden="false" customHeight="true" outlineLevel="0" collapsed="false">
      <c r="B22" s="13" t="s">
        <v>10</v>
      </c>
      <c r="C22" s="13"/>
      <c r="D22" s="13" t="s">
        <v>11</v>
      </c>
      <c r="E22" s="13"/>
      <c r="F22" s="14" t="s">
        <v>12</v>
      </c>
      <c r="G22" s="14" t="s">
        <v>13</v>
      </c>
      <c r="H22" s="14" t="s">
        <v>14</v>
      </c>
      <c r="I22" s="15" t="s">
        <v>15</v>
      </c>
      <c r="J22" s="15"/>
    </row>
    <row r="23" customFormat="false" ht="21.75" hidden="false" customHeight="true" outlineLevel="0" collapsed="false">
      <c r="B23" s="16" t="s">
        <v>16</v>
      </c>
      <c r="C23" s="16"/>
      <c r="D23" s="17" t="s">
        <v>17</v>
      </c>
      <c r="E23" s="17"/>
      <c r="F23" s="18" t="n">
        <v>1983334</v>
      </c>
      <c r="G23" s="18" t="n">
        <v>0</v>
      </c>
      <c r="H23" s="19" t="n">
        <v>1983334</v>
      </c>
      <c r="I23" s="20" t="s">
        <v>18</v>
      </c>
      <c r="J23" s="20"/>
    </row>
    <row r="24" customFormat="false" ht="21.75" hidden="false" customHeight="true" outlineLevel="0" collapsed="false">
      <c r="B24" s="21" t="s">
        <v>19</v>
      </c>
      <c r="C24" s="21"/>
      <c r="D24" s="22" t="s">
        <v>20</v>
      </c>
      <c r="E24" s="22"/>
      <c r="F24" s="23" t="n">
        <v>1983334</v>
      </c>
      <c r="G24" s="23" t="n">
        <v>1183615</v>
      </c>
      <c r="H24" s="24" t="n">
        <v>799719</v>
      </c>
      <c r="I24" s="25" t="s">
        <v>21</v>
      </c>
      <c r="J24" s="25"/>
    </row>
    <row r="25" customFormat="false" ht="21.75" hidden="false" customHeight="true" outlineLevel="0" collapsed="false">
      <c r="B25" s="16" t="s">
        <v>22</v>
      </c>
      <c r="C25" s="16"/>
      <c r="D25" s="17" t="s">
        <v>23</v>
      </c>
      <c r="E25" s="17"/>
      <c r="F25" s="18" t="n">
        <v>3204847</v>
      </c>
      <c r="G25" s="18" t="n">
        <v>0</v>
      </c>
      <c r="H25" s="19" t="n">
        <v>3204847</v>
      </c>
      <c r="I25" s="26" t="s">
        <v>24</v>
      </c>
      <c r="J25" s="26"/>
    </row>
    <row r="26" customFormat="false" ht="25.5" hidden="false" customHeight="true" outlineLevel="0" collapsed="false">
      <c r="B26" s="27" t="s">
        <v>25</v>
      </c>
      <c r="C26" s="27"/>
      <c r="D26" s="27"/>
      <c r="E26" s="27"/>
      <c r="F26" s="28"/>
      <c r="G26" s="28"/>
      <c r="H26" s="29" t="n">
        <f aca="false">SUM(H23:H25)</f>
        <v>5987900</v>
      </c>
      <c r="I26" s="28"/>
      <c r="J26" s="28"/>
    </row>
    <row r="28" customFormat="false" ht="27.75" hidden="false" customHeight="true" outlineLevel="0" collapsed="false">
      <c r="B28" s="12" t="s">
        <v>26</v>
      </c>
      <c r="C28" s="12"/>
      <c r="D28" s="12"/>
      <c r="E28" s="12"/>
      <c r="F28" s="12"/>
      <c r="G28" s="12"/>
      <c r="H28" s="12"/>
      <c r="I28" s="12"/>
      <c r="J28" s="12"/>
    </row>
    <row r="29" customFormat="false" ht="30" hidden="false" customHeight="true" outlineLevel="0" collapsed="false">
      <c r="B29" s="30" t="s">
        <v>27</v>
      </c>
      <c r="C29" s="30"/>
      <c r="D29" s="30"/>
      <c r="E29" s="31" t="s">
        <v>28</v>
      </c>
      <c r="F29" s="31"/>
      <c r="G29" s="31"/>
      <c r="H29" s="31"/>
      <c r="I29" s="31"/>
      <c r="J29" s="31"/>
    </row>
    <row r="30" customFormat="false" ht="30" hidden="false" customHeight="true" outlineLevel="0" collapsed="false">
      <c r="B30" s="30" t="s">
        <v>29</v>
      </c>
      <c r="C30" s="30"/>
      <c r="D30" s="30"/>
      <c r="E30" s="31" t="s">
        <v>30</v>
      </c>
      <c r="F30" s="31"/>
      <c r="G30" s="31"/>
      <c r="H30" s="31"/>
      <c r="I30" s="31"/>
      <c r="J30" s="31"/>
    </row>
    <row r="31" customFormat="false" ht="30" hidden="false" customHeight="true" outlineLevel="0" collapsed="false">
      <c r="B31" s="30" t="s">
        <v>31</v>
      </c>
      <c r="C31" s="30"/>
      <c r="D31" s="30"/>
      <c r="E31" s="31" t="s">
        <v>32</v>
      </c>
      <c r="F31" s="31"/>
      <c r="G31" s="31"/>
      <c r="H31" s="31"/>
      <c r="I31" s="31"/>
      <c r="J31" s="31"/>
    </row>
    <row r="32" customFormat="false" ht="30" hidden="false" customHeight="true" outlineLevel="0" collapsed="false">
      <c r="B32" s="30" t="s">
        <v>33</v>
      </c>
      <c r="C32" s="30"/>
      <c r="D32" s="30"/>
      <c r="E32" s="31" t="s">
        <v>34</v>
      </c>
      <c r="F32" s="31"/>
      <c r="G32" s="31"/>
      <c r="H32" s="31"/>
      <c r="I32" s="31"/>
      <c r="J32" s="31"/>
    </row>
    <row r="33" customFormat="false" ht="30" hidden="false" customHeight="true" outlineLevel="0" collapsed="false">
      <c r="B33" s="30" t="s">
        <v>35</v>
      </c>
      <c r="C33" s="30"/>
      <c r="D33" s="30"/>
      <c r="E33" s="31" t="s">
        <v>36</v>
      </c>
      <c r="F33" s="31"/>
      <c r="G33" s="31"/>
      <c r="H33" s="31"/>
      <c r="I33" s="31"/>
      <c r="J33" s="31"/>
    </row>
    <row r="34" customFormat="false" ht="30" hidden="false" customHeight="true" outlineLevel="0" collapsed="false">
      <c r="B34" s="30" t="s">
        <v>37</v>
      </c>
      <c r="C34" s="30"/>
      <c r="D34" s="30"/>
      <c r="E34" s="31" t="s">
        <v>38</v>
      </c>
      <c r="F34" s="31"/>
      <c r="G34" s="31"/>
      <c r="H34" s="31"/>
      <c r="I34" s="31"/>
      <c r="J34" s="31"/>
    </row>
    <row r="37" customFormat="false" ht="24" hidden="false" customHeight="true" outlineLevel="0" collapsed="false">
      <c r="B37" s="32" t="s">
        <v>39</v>
      </c>
      <c r="C37" s="32"/>
      <c r="D37" s="32"/>
      <c r="E37" s="32"/>
      <c r="F37" s="32"/>
      <c r="G37" s="32"/>
      <c r="H37" s="32"/>
      <c r="I37" s="32"/>
      <c r="J37" s="32"/>
    </row>
    <row r="38" customFormat="false" ht="18" hidden="false" customHeight="true" outlineLevel="0" collapsed="false">
      <c r="B38" s="33" t="s">
        <v>40</v>
      </c>
      <c r="C38" s="33"/>
      <c r="D38" s="33"/>
      <c r="E38" s="33"/>
      <c r="F38" s="33"/>
      <c r="G38" s="33"/>
      <c r="H38" s="33"/>
      <c r="I38" s="33"/>
      <c r="J38" s="33"/>
    </row>
  </sheetData>
  <mergeCells count="43">
    <mergeCell ref="B2:J3"/>
    <mergeCell ref="B4:J5"/>
    <mergeCell ref="B6:J7"/>
    <mergeCell ref="B9:J10"/>
    <mergeCell ref="B12:J12"/>
    <mergeCell ref="B13:J15"/>
    <mergeCell ref="B16:J16"/>
    <mergeCell ref="B18:D18"/>
    <mergeCell ref="E18:G18"/>
    <mergeCell ref="H18:J18"/>
    <mergeCell ref="B19:D19"/>
    <mergeCell ref="E19:G19"/>
    <mergeCell ref="H19:J19"/>
    <mergeCell ref="B21:J21"/>
    <mergeCell ref="B22:C22"/>
    <mergeCell ref="D22:E22"/>
    <mergeCell ref="I22:J22"/>
    <mergeCell ref="B23:C23"/>
    <mergeCell ref="D23:E23"/>
    <mergeCell ref="I23:J23"/>
    <mergeCell ref="B24:C24"/>
    <mergeCell ref="D24:E24"/>
    <mergeCell ref="I24:J24"/>
    <mergeCell ref="B25:C25"/>
    <mergeCell ref="D25:E25"/>
    <mergeCell ref="I25:J25"/>
    <mergeCell ref="B26:E26"/>
    <mergeCell ref="I26:J26"/>
    <mergeCell ref="B28:J28"/>
    <mergeCell ref="B29:D29"/>
    <mergeCell ref="E29:J29"/>
    <mergeCell ref="B30:D30"/>
    <mergeCell ref="E30:J30"/>
    <mergeCell ref="B31:D31"/>
    <mergeCell ref="E31:J31"/>
    <mergeCell ref="B32:D32"/>
    <mergeCell ref="E32:J32"/>
    <mergeCell ref="B33:D33"/>
    <mergeCell ref="E33:J33"/>
    <mergeCell ref="B34:D34"/>
    <mergeCell ref="E34:J34"/>
    <mergeCell ref="B37:J37"/>
    <mergeCell ref="B38:J38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5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6" min="4" style="0" width="14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2"/>
  </cols>
  <sheetData>
    <row r="2" customFormat="false" ht="31.5" hidden="false" customHeight="true" outlineLevel="0" collapsed="false">
      <c r="B2" s="34" t="s">
        <v>41</v>
      </c>
      <c r="C2" s="34"/>
      <c r="D2" s="34"/>
      <c r="E2" s="34"/>
      <c r="F2" s="34"/>
      <c r="G2" s="34"/>
      <c r="H2" s="34"/>
    </row>
    <row r="3" customFormat="false" ht="19.5" hidden="false" customHeight="true" outlineLevel="0" collapsed="false">
      <c r="B3" s="35" t="s">
        <v>42</v>
      </c>
      <c r="C3" s="35"/>
      <c r="D3" s="35"/>
      <c r="E3" s="35"/>
      <c r="F3" s="35"/>
      <c r="G3" s="35"/>
      <c r="H3" s="35"/>
    </row>
    <row r="5" customFormat="false" ht="24" hidden="false" customHeight="true" outlineLevel="0" collapsed="false">
      <c r="B5" s="36" t="s">
        <v>10</v>
      </c>
      <c r="C5" s="36" t="s">
        <v>11</v>
      </c>
      <c r="D5" s="14" t="s">
        <v>12</v>
      </c>
      <c r="E5" s="14" t="s">
        <v>13</v>
      </c>
      <c r="F5" s="14" t="s">
        <v>14</v>
      </c>
      <c r="G5" s="37" t="s">
        <v>15</v>
      </c>
      <c r="H5" s="36" t="s">
        <v>43</v>
      </c>
    </row>
    <row r="6" customFormat="false" ht="21.75" hidden="false" customHeight="true" outlineLevel="0" collapsed="false">
      <c r="B6" s="38" t="s">
        <v>44</v>
      </c>
      <c r="C6" s="38"/>
      <c r="D6" s="38"/>
      <c r="E6" s="38"/>
      <c r="F6" s="38"/>
      <c r="G6" s="38"/>
      <c r="H6" s="38"/>
    </row>
    <row r="7" customFormat="false" ht="21.75" hidden="false" customHeight="true" outlineLevel="0" collapsed="false">
      <c r="B7" s="39" t="s">
        <v>45</v>
      </c>
      <c r="C7" s="40" t="s">
        <v>46</v>
      </c>
      <c r="D7" s="23" t="n">
        <v>1983334</v>
      </c>
      <c r="E7" s="41" t="n">
        <v>1983334</v>
      </c>
      <c r="F7" s="23" t="n">
        <f aca="false">D7-IF(ISNUMBER(E7),E7,0)</f>
        <v>0</v>
      </c>
      <c r="G7" s="42" t="s">
        <v>47</v>
      </c>
      <c r="H7" s="43" t="s">
        <v>48</v>
      </c>
    </row>
    <row r="8" customFormat="false" ht="21.75" hidden="false" customHeight="true" outlineLevel="0" collapsed="false">
      <c r="B8" s="44" t="s">
        <v>16</v>
      </c>
      <c r="C8" s="45" t="s">
        <v>17</v>
      </c>
      <c r="D8" s="18" t="n">
        <v>1983334</v>
      </c>
      <c r="E8" s="46" t="n">
        <v>0</v>
      </c>
      <c r="F8" s="19" t="n">
        <f aca="false">D8-IF(ISNUMBER(E8),E8,0)</f>
        <v>1983334</v>
      </c>
      <c r="G8" s="20" t="s">
        <v>18</v>
      </c>
      <c r="H8" s="47" t="s">
        <v>49</v>
      </c>
    </row>
    <row r="9" customFormat="false" ht="21.75" hidden="false" customHeight="true" outlineLevel="0" collapsed="false">
      <c r="B9" s="39" t="s">
        <v>50</v>
      </c>
      <c r="C9" s="40" t="s">
        <v>51</v>
      </c>
      <c r="D9" s="23" t="n">
        <v>1983334</v>
      </c>
      <c r="E9" s="41" t="n">
        <v>1983334</v>
      </c>
      <c r="F9" s="23" t="n">
        <f aca="false">D9-IF(ISNUMBER(E9),E9,0)</f>
        <v>0</v>
      </c>
      <c r="G9" s="42" t="s">
        <v>47</v>
      </c>
      <c r="H9" s="43" t="s">
        <v>52</v>
      </c>
    </row>
    <row r="10" customFormat="false" ht="21.75" hidden="false" customHeight="true" outlineLevel="0" collapsed="false">
      <c r="B10" s="44" t="s">
        <v>53</v>
      </c>
      <c r="C10" s="45" t="s">
        <v>54</v>
      </c>
      <c r="D10" s="18" t="n">
        <v>1983334</v>
      </c>
      <c r="E10" s="48" t="n">
        <v>1983334</v>
      </c>
      <c r="F10" s="18" t="n">
        <f aca="false">D10-IF(ISNUMBER(E10),E10,0)</f>
        <v>0</v>
      </c>
      <c r="G10" s="49" t="s">
        <v>47</v>
      </c>
      <c r="H10" s="47" t="s">
        <v>55</v>
      </c>
    </row>
    <row r="11" customFormat="false" ht="21.75" hidden="false" customHeight="true" outlineLevel="0" collapsed="false">
      <c r="B11" s="39" t="s">
        <v>19</v>
      </c>
      <c r="C11" s="40" t="s">
        <v>20</v>
      </c>
      <c r="D11" s="23" t="n">
        <v>1983334</v>
      </c>
      <c r="E11" s="41" t="n">
        <v>1183615</v>
      </c>
      <c r="F11" s="24" t="n">
        <f aca="false">D11-IF(ISNUMBER(E11),E11,0)</f>
        <v>799719</v>
      </c>
      <c r="G11" s="25" t="s">
        <v>21</v>
      </c>
      <c r="H11" s="43" t="s">
        <v>56</v>
      </c>
    </row>
    <row r="12" customFormat="false" ht="21.75" hidden="false" customHeight="true" outlineLevel="0" collapsed="false">
      <c r="B12" s="44" t="s">
        <v>22</v>
      </c>
      <c r="C12" s="45" t="s">
        <v>57</v>
      </c>
      <c r="D12" s="18" t="n">
        <v>1983334</v>
      </c>
      <c r="E12" s="48" t="n">
        <v>3182766</v>
      </c>
      <c r="F12" s="18" t="n">
        <f aca="false">D12-IF(ISNUMBER(E12),E12,0)</f>
        <v>-1199432</v>
      </c>
      <c r="G12" s="49" t="s">
        <v>47</v>
      </c>
      <c r="H12" s="47" t="s">
        <v>58</v>
      </c>
    </row>
    <row r="13" customFormat="false" ht="21.75" hidden="false" customHeight="true" outlineLevel="0" collapsed="false">
      <c r="B13" s="38" t="s">
        <v>59</v>
      </c>
      <c r="C13" s="38"/>
      <c r="D13" s="38"/>
      <c r="E13" s="38"/>
      <c r="F13" s="38"/>
      <c r="G13" s="38"/>
      <c r="H13" s="38"/>
    </row>
    <row r="14" customFormat="false" ht="21.75" hidden="false" customHeight="true" outlineLevel="0" collapsed="false">
      <c r="B14" s="44" t="s">
        <v>22</v>
      </c>
      <c r="C14" s="45" t="s">
        <v>23</v>
      </c>
      <c r="D14" s="18" t="n">
        <v>3204847</v>
      </c>
      <c r="E14" s="46" t="n">
        <v>0</v>
      </c>
      <c r="F14" s="19" t="n">
        <f aca="false">D14-IF(ISNUMBER(E14),E14,0)</f>
        <v>3204847</v>
      </c>
      <c r="G14" s="26" t="s">
        <v>24</v>
      </c>
      <c r="H14" s="47" t="s">
        <v>60</v>
      </c>
    </row>
    <row r="15" customFormat="false" ht="21.75" hidden="false" customHeight="true" outlineLevel="0" collapsed="false">
      <c r="B15" s="50" t="s">
        <v>61</v>
      </c>
      <c r="C15" s="50" t="s">
        <v>62</v>
      </c>
      <c r="D15" s="51" t="n">
        <v>3214461</v>
      </c>
      <c r="E15" s="52" t="s">
        <v>63</v>
      </c>
      <c r="F15" s="52" t="s">
        <v>63</v>
      </c>
      <c r="G15" s="53" t="s">
        <v>64</v>
      </c>
      <c r="H15" s="54" t="s">
        <v>65</v>
      </c>
    </row>
    <row r="16" customFormat="false" ht="21.75" hidden="false" customHeight="true" outlineLevel="0" collapsed="false">
      <c r="B16" s="50" t="s">
        <v>66</v>
      </c>
      <c r="C16" s="50" t="s">
        <v>67</v>
      </c>
      <c r="D16" s="51" t="n">
        <v>3224105</v>
      </c>
      <c r="E16" s="52" t="s">
        <v>63</v>
      </c>
      <c r="F16" s="52" t="s">
        <v>63</v>
      </c>
      <c r="G16" s="53" t="s">
        <v>64</v>
      </c>
      <c r="H16" s="54" t="s">
        <v>65</v>
      </c>
    </row>
    <row r="17" customFormat="false" ht="21.75" hidden="false" customHeight="true" outlineLevel="0" collapsed="false">
      <c r="B17" s="50" t="s">
        <v>68</v>
      </c>
      <c r="C17" s="50" t="s">
        <v>69</v>
      </c>
      <c r="D17" s="51" t="n">
        <v>3233777</v>
      </c>
      <c r="E17" s="52" t="s">
        <v>63</v>
      </c>
      <c r="F17" s="52" t="s">
        <v>63</v>
      </c>
      <c r="G17" s="53" t="s">
        <v>64</v>
      </c>
      <c r="H17" s="54" t="s">
        <v>65</v>
      </c>
    </row>
    <row r="18" customFormat="false" ht="21.75" hidden="false" customHeight="true" outlineLevel="0" collapsed="false">
      <c r="B18" s="50" t="s">
        <v>70</v>
      </c>
      <c r="C18" s="50" t="s">
        <v>71</v>
      </c>
      <c r="D18" s="51" t="n">
        <v>3243478</v>
      </c>
      <c r="E18" s="52" t="s">
        <v>63</v>
      </c>
      <c r="F18" s="52" t="s">
        <v>63</v>
      </c>
      <c r="G18" s="53" t="s">
        <v>64</v>
      </c>
      <c r="H18" s="54" t="s">
        <v>65</v>
      </c>
    </row>
    <row r="19" customFormat="false" ht="21.75" hidden="false" customHeight="true" outlineLevel="0" collapsed="false">
      <c r="B19" s="50" t="s">
        <v>72</v>
      </c>
      <c r="C19" s="50" t="s">
        <v>73</v>
      </c>
      <c r="D19" s="51" t="n">
        <v>3253209</v>
      </c>
      <c r="E19" s="52" t="s">
        <v>63</v>
      </c>
      <c r="F19" s="52" t="s">
        <v>63</v>
      </c>
      <c r="G19" s="53" t="s">
        <v>64</v>
      </c>
      <c r="H19" s="54" t="s">
        <v>65</v>
      </c>
    </row>
    <row r="20" customFormat="false" ht="21.75" hidden="false" customHeight="true" outlineLevel="0" collapsed="false">
      <c r="B20" s="50" t="s">
        <v>74</v>
      </c>
      <c r="C20" s="50" t="s">
        <v>75</v>
      </c>
      <c r="D20" s="51" t="n">
        <v>3262969</v>
      </c>
      <c r="E20" s="52" t="s">
        <v>63</v>
      </c>
      <c r="F20" s="52" t="s">
        <v>63</v>
      </c>
      <c r="G20" s="53" t="s">
        <v>64</v>
      </c>
      <c r="H20" s="54" t="s">
        <v>65</v>
      </c>
    </row>
    <row r="21" customFormat="false" ht="21.75" hidden="false" customHeight="true" outlineLevel="0" collapsed="false">
      <c r="B21" s="50" t="s">
        <v>76</v>
      </c>
      <c r="C21" s="50" t="s">
        <v>77</v>
      </c>
      <c r="D21" s="51" t="n">
        <v>3272757</v>
      </c>
      <c r="E21" s="52" t="s">
        <v>63</v>
      </c>
      <c r="F21" s="52" t="s">
        <v>63</v>
      </c>
      <c r="G21" s="53" t="s">
        <v>64</v>
      </c>
      <c r="H21" s="54" t="s">
        <v>65</v>
      </c>
    </row>
    <row r="22" customFormat="false" ht="21.75" hidden="false" customHeight="true" outlineLevel="0" collapsed="false">
      <c r="B22" s="50" t="s">
        <v>78</v>
      </c>
      <c r="C22" s="50" t="s">
        <v>79</v>
      </c>
      <c r="D22" s="51" t="n">
        <v>3282576</v>
      </c>
      <c r="E22" s="52" t="s">
        <v>63</v>
      </c>
      <c r="F22" s="52" t="s">
        <v>63</v>
      </c>
      <c r="G22" s="53" t="s">
        <v>64</v>
      </c>
      <c r="H22" s="54" t="s">
        <v>65</v>
      </c>
    </row>
    <row r="23" customFormat="false" ht="21.75" hidden="false" customHeight="true" outlineLevel="0" collapsed="false">
      <c r="B23" s="50" t="s">
        <v>80</v>
      </c>
      <c r="C23" s="50" t="s">
        <v>81</v>
      </c>
      <c r="D23" s="51" t="n">
        <v>3292423</v>
      </c>
      <c r="E23" s="52" t="s">
        <v>63</v>
      </c>
      <c r="F23" s="52" t="s">
        <v>63</v>
      </c>
      <c r="G23" s="53" t="s">
        <v>64</v>
      </c>
      <c r="H23" s="54" t="s">
        <v>65</v>
      </c>
    </row>
    <row r="24" customFormat="false" ht="21.75" hidden="false" customHeight="true" outlineLevel="0" collapsed="false">
      <c r="B24" s="50" t="s">
        <v>82</v>
      </c>
      <c r="C24" s="50" t="s">
        <v>83</v>
      </c>
      <c r="D24" s="51" t="n">
        <v>3302301</v>
      </c>
      <c r="E24" s="52" t="s">
        <v>63</v>
      </c>
      <c r="F24" s="52" t="s">
        <v>63</v>
      </c>
      <c r="G24" s="53" t="s">
        <v>64</v>
      </c>
      <c r="H24" s="54" t="s">
        <v>65</v>
      </c>
    </row>
    <row r="25" customFormat="false" ht="21.75" hidden="false" customHeight="true" outlineLevel="0" collapsed="false">
      <c r="B25" s="50" t="s">
        <v>84</v>
      </c>
      <c r="C25" s="50" t="s">
        <v>85</v>
      </c>
      <c r="D25" s="51" t="n">
        <v>3312208</v>
      </c>
      <c r="E25" s="52" t="s">
        <v>63</v>
      </c>
      <c r="F25" s="52" t="s">
        <v>63</v>
      </c>
      <c r="G25" s="53" t="s">
        <v>64</v>
      </c>
      <c r="H25" s="54" t="s">
        <v>65</v>
      </c>
    </row>
    <row r="26" customFormat="false" ht="21.75" hidden="false" customHeight="true" outlineLevel="0" collapsed="false">
      <c r="B26" s="50" t="s">
        <v>86</v>
      </c>
      <c r="C26" s="50" t="s">
        <v>87</v>
      </c>
      <c r="D26" s="51" t="n">
        <v>3322144</v>
      </c>
      <c r="E26" s="52" t="s">
        <v>63</v>
      </c>
      <c r="F26" s="52" t="s">
        <v>63</v>
      </c>
      <c r="G26" s="53" t="s">
        <v>64</v>
      </c>
      <c r="H26" s="54" t="s">
        <v>65</v>
      </c>
    </row>
    <row r="27" customFormat="false" ht="21.75" hidden="false" customHeight="true" outlineLevel="0" collapsed="false">
      <c r="B27" s="50" t="s">
        <v>88</v>
      </c>
      <c r="C27" s="50" t="s">
        <v>89</v>
      </c>
      <c r="D27" s="51" t="n">
        <v>3332111</v>
      </c>
      <c r="E27" s="52" t="s">
        <v>63</v>
      </c>
      <c r="F27" s="52" t="s">
        <v>63</v>
      </c>
      <c r="G27" s="53" t="s">
        <v>64</v>
      </c>
      <c r="H27" s="54" t="s">
        <v>65</v>
      </c>
    </row>
    <row r="28" customFormat="false" ht="21.75" hidden="false" customHeight="true" outlineLevel="0" collapsed="false">
      <c r="B28" s="50" t="s">
        <v>90</v>
      </c>
      <c r="C28" s="50" t="s">
        <v>91</v>
      </c>
      <c r="D28" s="51" t="n">
        <v>3342107</v>
      </c>
      <c r="E28" s="52" t="s">
        <v>63</v>
      </c>
      <c r="F28" s="52" t="s">
        <v>63</v>
      </c>
      <c r="G28" s="53" t="s">
        <v>64</v>
      </c>
      <c r="H28" s="54" t="s">
        <v>65</v>
      </c>
    </row>
    <row r="29" customFormat="false" ht="21.75" hidden="false" customHeight="true" outlineLevel="0" collapsed="false">
      <c r="B29" s="50" t="s">
        <v>92</v>
      </c>
      <c r="C29" s="50" t="s">
        <v>93</v>
      </c>
      <c r="D29" s="51" t="n">
        <v>3352133</v>
      </c>
      <c r="E29" s="52" t="s">
        <v>63</v>
      </c>
      <c r="F29" s="52" t="s">
        <v>63</v>
      </c>
      <c r="G29" s="53" t="s">
        <v>64</v>
      </c>
      <c r="H29" s="54" t="s">
        <v>65</v>
      </c>
    </row>
    <row r="30" customFormat="false" ht="21.75" hidden="false" customHeight="true" outlineLevel="0" collapsed="false">
      <c r="B30" s="50" t="s">
        <v>94</v>
      </c>
      <c r="C30" s="50" t="s">
        <v>95</v>
      </c>
      <c r="D30" s="51" t="n">
        <v>3362190</v>
      </c>
      <c r="E30" s="52" t="s">
        <v>63</v>
      </c>
      <c r="F30" s="52" t="s">
        <v>63</v>
      </c>
      <c r="G30" s="53" t="s">
        <v>64</v>
      </c>
      <c r="H30" s="54" t="s">
        <v>65</v>
      </c>
    </row>
    <row r="31" customFormat="false" ht="21.75" hidden="false" customHeight="true" outlineLevel="0" collapsed="false">
      <c r="B31" s="50" t="s">
        <v>96</v>
      </c>
      <c r="C31" s="50" t="s">
        <v>97</v>
      </c>
      <c r="D31" s="51" t="n">
        <v>3372276</v>
      </c>
      <c r="E31" s="52" t="s">
        <v>63</v>
      </c>
      <c r="F31" s="52" t="s">
        <v>63</v>
      </c>
      <c r="G31" s="53" t="s">
        <v>64</v>
      </c>
      <c r="H31" s="54" t="s">
        <v>65</v>
      </c>
    </row>
    <row r="32" customFormat="false" ht="21.75" hidden="false" customHeight="true" outlineLevel="0" collapsed="false">
      <c r="B32" s="50" t="s">
        <v>98</v>
      </c>
      <c r="C32" s="50" t="s">
        <v>99</v>
      </c>
      <c r="D32" s="51" t="n">
        <v>3382393</v>
      </c>
      <c r="E32" s="52" t="s">
        <v>63</v>
      </c>
      <c r="F32" s="52" t="s">
        <v>63</v>
      </c>
      <c r="G32" s="53" t="s">
        <v>64</v>
      </c>
      <c r="H32" s="54" t="s">
        <v>65</v>
      </c>
    </row>
    <row r="33" customFormat="false" ht="21.75" hidden="false" customHeight="true" outlineLevel="0" collapsed="false">
      <c r="B33" s="50" t="s">
        <v>100</v>
      </c>
      <c r="C33" s="50" t="s">
        <v>101</v>
      </c>
      <c r="D33" s="51" t="n">
        <v>3392540</v>
      </c>
      <c r="E33" s="52" t="s">
        <v>63</v>
      </c>
      <c r="F33" s="52" t="s">
        <v>63</v>
      </c>
      <c r="G33" s="53" t="s">
        <v>64</v>
      </c>
      <c r="H33" s="54" t="s">
        <v>65</v>
      </c>
    </row>
    <row r="34" customFormat="false" ht="21.75" hidden="false" customHeight="true" outlineLevel="0" collapsed="false">
      <c r="B34" s="50" t="s">
        <v>102</v>
      </c>
      <c r="C34" s="50" t="s">
        <v>103</v>
      </c>
      <c r="D34" s="51" t="n">
        <v>3402718</v>
      </c>
      <c r="E34" s="52" t="s">
        <v>63</v>
      </c>
      <c r="F34" s="52" t="s">
        <v>63</v>
      </c>
      <c r="G34" s="53" t="s">
        <v>64</v>
      </c>
      <c r="H34" s="54" t="s">
        <v>65</v>
      </c>
    </row>
    <row r="35" customFormat="false" ht="21.75" hidden="false" customHeight="true" outlineLevel="0" collapsed="false">
      <c r="B35" s="50" t="s">
        <v>104</v>
      </c>
      <c r="C35" s="50" t="s">
        <v>105</v>
      </c>
      <c r="D35" s="51" t="n">
        <v>3412926</v>
      </c>
      <c r="E35" s="52" t="s">
        <v>63</v>
      </c>
      <c r="F35" s="52" t="s">
        <v>63</v>
      </c>
      <c r="G35" s="53" t="s">
        <v>64</v>
      </c>
      <c r="H35" s="54" t="s">
        <v>65</v>
      </c>
    </row>
    <row r="36" customFormat="false" ht="21.75" hidden="false" customHeight="true" outlineLevel="0" collapsed="false">
      <c r="B36" s="50" t="s">
        <v>106</v>
      </c>
      <c r="C36" s="50" t="s">
        <v>107</v>
      </c>
      <c r="D36" s="51" t="n">
        <v>3423165</v>
      </c>
      <c r="E36" s="52" t="s">
        <v>63</v>
      </c>
      <c r="F36" s="52" t="s">
        <v>63</v>
      </c>
      <c r="G36" s="53" t="s">
        <v>64</v>
      </c>
      <c r="H36" s="54" t="s">
        <v>65</v>
      </c>
    </row>
    <row r="37" customFormat="false" ht="21.75" hidden="false" customHeight="true" outlineLevel="0" collapsed="false">
      <c r="B37" s="50" t="s">
        <v>108</v>
      </c>
      <c r="C37" s="50" t="s">
        <v>109</v>
      </c>
      <c r="D37" s="51" t="n">
        <v>3433434</v>
      </c>
      <c r="E37" s="52" t="s">
        <v>63</v>
      </c>
      <c r="F37" s="52" t="s">
        <v>63</v>
      </c>
      <c r="G37" s="53" t="s">
        <v>64</v>
      </c>
      <c r="H37" s="54" t="s">
        <v>65</v>
      </c>
    </row>
    <row r="38" customFormat="false" ht="21.75" hidden="false" customHeight="true" outlineLevel="0" collapsed="false">
      <c r="B38" s="50" t="s">
        <v>110</v>
      </c>
      <c r="C38" s="50" t="s">
        <v>111</v>
      </c>
      <c r="D38" s="51" t="n">
        <v>3443735</v>
      </c>
      <c r="E38" s="52" t="s">
        <v>63</v>
      </c>
      <c r="F38" s="52" t="s">
        <v>63</v>
      </c>
      <c r="G38" s="53" t="s">
        <v>64</v>
      </c>
      <c r="H38" s="54" t="s">
        <v>65</v>
      </c>
    </row>
    <row r="39" customFormat="false" ht="21.75" hidden="false" customHeight="true" outlineLevel="0" collapsed="false">
      <c r="B39" s="50" t="s">
        <v>112</v>
      </c>
      <c r="C39" s="50" t="s">
        <v>113</v>
      </c>
      <c r="D39" s="51" t="n">
        <v>3454066</v>
      </c>
      <c r="E39" s="52" t="s">
        <v>63</v>
      </c>
      <c r="F39" s="52" t="s">
        <v>63</v>
      </c>
      <c r="G39" s="53" t="s">
        <v>64</v>
      </c>
      <c r="H39" s="54" t="s">
        <v>65</v>
      </c>
    </row>
    <row r="40" customFormat="false" ht="21.75" hidden="false" customHeight="true" outlineLevel="0" collapsed="false">
      <c r="B40" s="50" t="s">
        <v>114</v>
      </c>
      <c r="C40" s="50" t="s">
        <v>115</v>
      </c>
      <c r="D40" s="51" t="n">
        <v>3464428</v>
      </c>
      <c r="E40" s="52" t="s">
        <v>63</v>
      </c>
      <c r="F40" s="52" t="s">
        <v>63</v>
      </c>
      <c r="G40" s="53" t="s">
        <v>64</v>
      </c>
      <c r="H40" s="54" t="s">
        <v>65</v>
      </c>
    </row>
    <row r="41" customFormat="false" ht="21.75" hidden="false" customHeight="true" outlineLevel="0" collapsed="false">
      <c r="B41" s="50" t="s">
        <v>116</v>
      </c>
      <c r="C41" s="50" t="s">
        <v>117</v>
      </c>
      <c r="D41" s="51" t="n">
        <v>3474821</v>
      </c>
      <c r="E41" s="52" t="s">
        <v>63</v>
      </c>
      <c r="F41" s="52" t="s">
        <v>63</v>
      </c>
      <c r="G41" s="53" t="s">
        <v>64</v>
      </c>
      <c r="H41" s="54" t="s">
        <v>65</v>
      </c>
    </row>
    <row r="42" customFormat="false" ht="21.75" hidden="false" customHeight="true" outlineLevel="0" collapsed="false">
      <c r="B42" s="50" t="s">
        <v>118</v>
      </c>
      <c r="C42" s="50" t="s">
        <v>119</v>
      </c>
      <c r="D42" s="51" t="n">
        <v>3485246</v>
      </c>
      <c r="E42" s="52" t="s">
        <v>63</v>
      </c>
      <c r="F42" s="52" t="s">
        <v>63</v>
      </c>
      <c r="G42" s="53" t="s">
        <v>64</v>
      </c>
      <c r="H42" s="54" t="s">
        <v>65</v>
      </c>
    </row>
    <row r="43" customFormat="false" ht="21.75" hidden="false" customHeight="true" outlineLevel="0" collapsed="false">
      <c r="B43" s="50" t="s">
        <v>120</v>
      </c>
      <c r="C43" s="50" t="s">
        <v>121</v>
      </c>
      <c r="D43" s="51" t="n">
        <v>3495702</v>
      </c>
      <c r="E43" s="52" t="s">
        <v>63</v>
      </c>
      <c r="F43" s="52" t="s">
        <v>63</v>
      </c>
      <c r="G43" s="53" t="s">
        <v>64</v>
      </c>
      <c r="H43" s="54" t="s">
        <v>65</v>
      </c>
    </row>
    <row r="44" customFormat="false" ht="21.75" hidden="false" customHeight="true" outlineLevel="0" collapsed="false">
      <c r="B44" s="50" t="s">
        <v>122</v>
      </c>
      <c r="C44" s="50" t="s">
        <v>123</v>
      </c>
      <c r="D44" s="51" t="n">
        <v>3506189</v>
      </c>
      <c r="E44" s="52" t="s">
        <v>63</v>
      </c>
      <c r="F44" s="52" t="s">
        <v>63</v>
      </c>
      <c r="G44" s="53" t="s">
        <v>64</v>
      </c>
      <c r="H44" s="54" t="s">
        <v>65</v>
      </c>
    </row>
    <row r="45" customFormat="false" ht="21.75" hidden="false" customHeight="true" outlineLevel="0" collapsed="false">
      <c r="B45" s="50" t="s">
        <v>124</v>
      </c>
      <c r="C45" s="50" t="s">
        <v>125</v>
      </c>
      <c r="D45" s="51" t="n">
        <v>3516707</v>
      </c>
      <c r="E45" s="52" t="s">
        <v>63</v>
      </c>
      <c r="F45" s="52" t="s">
        <v>63</v>
      </c>
      <c r="G45" s="53" t="s">
        <v>64</v>
      </c>
      <c r="H45" s="54" t="s">
        <v>65</v>
      </c>
    </row>
    <row r="46" customFormat="false" ht="21.75" hidden="false" customHeight="true" outlineLevel="0" collapsed="false">
      <c r="B46" s="50" t="s">
        <v>126</v>
      </c>
      <c r="C46" s="50" t="s">
        <v>127</v>
      </c>
      <c r="D46" s="51" t="n">
        <v>3527257</v>
      </c>
      <c r="E46" s="52" t="s">
        <v>63</v>
      </c>
      <c r="F46" s="52" t="s">
        <v>63</v>
      </c>
      <c r="G46" s="53" t="s">
        <v>64</v>
      </c>
      <c r="H46" s="54" t="s">
        <v>65</v>
      </c>
    </row>
    <row r="47" customFormat="false" ht="21.75" hidden="false" customHeight="true" outlineLevel="0" collapsed="false">
      <c r="B47" s="50" t="s">
        <v>128</v>
      </c>
      <c r="C47" s="50" t="s">
        <v>129</v>
      </c>
      <c r="D47" s="51" t="n">
        <v>3537839</v>
      </c>
      <c r="E47" s="52" t="s">
        <v>63</v>
      </c>
      <c r="F47" s="52" t="s">
        <v>63</v>
      </c>
      <c r="G47" s="53" t="s">
        <v>64</v>
      </c>
      <c r="H47" s="54" t="s">
        <v>65</v>
      </c>
    </row>
    <row r="48" customFormat="false" ht="21.75" hidden="false" customHeight="true" outlineLevel="0" collapsed="false">
      <c r="B48" s="50" t="s">
        <v>130</v>
      </c>
      <c r="C48" s="50" t="s">
        <v>131</v>
      </c>
      <c r="D48" s="51" t="n">
        <v>3548453</v>
      </c>
      <c r="E48" s="52" t="s">
        <v>63</v>
      </c>
      <c r="F48" s="52" t="s">
        <v>63</v>
      </c>
      <c r="G48" s="53" t="s">
        <v>64</v>
      </c>
      <c r="H48" s="54" t="s">
        <v>65</v>
      </c>
    </row>
    <row r="49" customFormat="false" ht="21.75" hidden="false" customHeight="true" outlineLevel="0" collapsed="false">
      <c r="B49" s="50" t="s">
        <v>132</v>
      </c>
      <c r="C49" s="50" t="s">
        <v>133</v>
      </c>
      <c r="D49" s="51" t="n">
        <v>3559098</v>
      </c>
      <c r="E49" s="52" t="s">
        <v>63</v>
      </c>
      <c r="F49" s="52" t="s">
        <v>63</v>
      </c>
      <c r="G49" s="53" t="s">
        <v>64</v>
      </c>
      <c r="H49" s="54" t="s">
        <v>65</v>
      </c>
    </row>
    <row r="50" customFormat="false" ht="24" hidden="false" customHeight="true" outlineLevel="0" collapsed="false">
      <c r="B50" s="55" t="s">
        <v>134</v>
      </c>
      <c r="C50" s="56" t="s">
        <v>135</v>
      </c>
      <c r="D50" s="57" t="n">
        <f aca="false">SUM(D6:D49)</f>
        <v>133542793</v>
      </c>
      <c r="E50" s="57" t="n">
        <f aca="false">SUMIF(E6:E49,"&gt;0")</f>
        <v>10316383</v>
      </c>
      <c r="F50" s="57" t="n">
        <f aca="false">SUMIF(F6:F49,"&gt;0")</f>
        <v>5987900</v>
      </c>
      <c r="G50" s="28"/>
      <c r="H50" s="28"/>
    </row>
  </sheetData>
  <mergeCells count="4">
    <mergeCell ref="B2:H2"/>
    <mergeCell ref="B3:H3"/>
    <mergeCell ref="B6:H6"/>
    <mergeCell ref="B13:H1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2"/>
  </cols>
  <sheetData>
    <row r="2" customFormat="false" ht="31.5" hidden="false" customHeight="true" outlineLevel="0" collapsed="false">
      <c r="B2" s="34" t="s">
        <v>136</v>
      </c>
      <c r="C2" s="34"/>
      <c r="D2" s="34"/>
      <c r="E2" s="34"/>
      <c r="F2" s="34"/>
    </row>
    <row r="3" customFormat="false" ht="19.5" hidden="false" customHeight="true" outlineLevel="0" collapsed="false">
      <c r="B3" s="35" t="s">
        <v>137</v>
      </c>
      <c r="C3" s="35"/>
      <c r="D3" s="35"/>
      <c r="E3" s="35"/>
      <c r="F3" s="35"/>
    </row>
    <row r="5" customFormat="false" ht="24" hidden="false" customHeight="true" outlineLevel="0" collapsed="false">
      <c r="B5" s="36" t="s">
        <v>138</v>
      </c>
      <c r="C5" s="36" t="s">
        <v>139</v>
      </c>
      <c r="D5" s="14" t="s">
        <v>140</v>
      </c>
      <c r="E5" s="36" t="s">
        <v>141</v>
      </c>
      <c r="F5" s="36" t="s">
        <v>142</v>
      </c>
    </row>
    <row r="6" customFormat="false" ht="21.75" hidden="false" customHeight="true" outlineLevel="0" collapsed="false">
      <c r="B6" s="58" t="s">
        <v>143</v>
      </c>
      <c r="C6" s="45" t="s">
        <v>144</v>
      </c>
      <c r="D6" s="59" t="n">
        <v>1983334</v>
      </c>
      <c r="E6" s="45" t="s">
        <v>145</v>
      </c>
      <c r="F6" s="47" t="s">
        <v>146</v>
      </c>
    </row>
    <row r="7" customFormat="false" ht="21.75" hidden="false" customHeight="true" outlineLevel="0" collapsed="false">
      <c r="B7" s="60" t="s">
        <v>147</v>
      </c>
      <c r="C7" s="40" t="s">
        <v>144</v>
      </c>
      <c r="D7" s="61" t="n">
        <v>1983334</v>
      </c>
      <c r="E7" s="40" t="s">
        <v>148</v>
      </c>
      <c r="F7" s="43" t="s">
        <v>149</v>
      </c>
    </row>
    <row r="8" customFormat="false" ht="21.75" hidden="false" customHeight="true" outlineLevel="0" collapsed="false">
      <c r="B8" s="58" t="s">
        <v>150</v>
      </c>
      <c r="C8" s="45" t="s">
        <v>151</v>
      </c>
      <c r="D8" s="59" t="n">
        <v>3166949</v>
      </c>
      <c r="E8" s="45" t="s">
        <v>152</v>
      </c>
      <c r="F8" s="47" t="s">
        <v>153</v>
      </c>
    </row>
    <row r="9" customFormat="false" ht="21.75" hidden="false" customHeight="true" outlineLevel="0" collapsed="false">
      <c r="B9" s="60" t="s">
        <v>154</v>
      </c>
      <c r="C9" s="40" t="s">
        <v>151</v>
      </c>
      <c r="D9" s="61" t="n">
        <v>3182766</v>
      </c>
      <c r="E9" s="40" t="s">
        <v>155</v>
      </c>
      <c r="F9" s="43" t="s">
        <v>156</v>
      </c>
    </row>
    <row r="10" customFormat="false" ht="25.5" hidden="false" customHeight="true" outlineLevel="0" collapsed="false">
      <c r="B10" s="55" t="s">
        <v>157</v>
      </c>
      <c r="C10" s="56" t="s">
        <v>158</v>
      </c>
      <c r="D10" s="29" t="n">
        <f aca="false">SUM(D6:D9)</f>
        <v>10316383</v>
      </c>
      <c r="E10" s="28"/>
      <c r="F10" s="28"/>
    </row>
  </sheetData>
  <mergeCells count="2">
    <mergeCell ref="B2:F2"/>
    <mergeCell ref="B3:F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"/>
  </cols>
  <sheetData>
    <row r="2" customFormat="false" ht="31.5" hidden="false" customHeight="true" outlineLevel="0" collapsed="false">
      <c r="B2" s="34" t="s">
        <v>159</v>
      </c>
      <c r="C2" s="34"/>
    </row>
    <row r="3" customFormat="false" ht="19.5" hidden="false" customHeight="true" outlineLevel="0" collapsed="false">
      <c r="B3" s="35" t="s">
        <v>160</v>
      </c>
      <c r="C3" s="35"/>
    </row>
    <row r="5" customFormat="false" ht="39.75" hidden="false" customHeight="true" outlineLevel="0" collapsed="false">
      <c r="B5" s="62" t="s">
        <v>161</v>
      </c>
      <c r="C5" s="63" t="s">
        <v>162</v>
      </c>
    </row>
    <row r="6" customFormat="false" ht="39.75" hidden="false" customHeight="true" outlineLevel="0" collapsed="false">
      <c r="B6" s="62" t="s">
        <v>163</v>
      </c>
      <c r="C6" s="63" t="s">
        <v>164</v>
      </c>
    </row>
    <row r="7" customFormat="false" ht="54" hidden="false" customHeight="true" outlineLevel="0" collapsed="false">
      <c r="B7" s="62" t="s">
        <v>165</v>
      </c>
      <c r="C7" s="63" t="s">
        <v>166</v>
      </c>
    </row>
    <row r="8" customFormat="false" ht="54" hidden="false" customHeight="true" outlineLevel="0" collapsed="false">
      <c r="B8" s="62" t="s">
        <v>167</v>
      </c>
      <c r="C8" s="63" t="s">
        <v>168</v>
      </c>
    </row>
    <row r="9" customFormat="false" ht="72" hidden="false" customHeight="true" outlineLevel="0" collapsed="false">
      <c r="B9" s="62" t="s">
        <v>169</v>
      </c>
      <c r="C9" s="63" t="s">
        <v>170</v>
      </c>
    </row>
    <row r="10" customFormat="false" ht="90" hidden="false" customHeight="true" outlineLevel="0" collapsed="false">
      <c r="B10" s="62" t="s">
        <v>171</v>
      </c>
      <c r="C10" s="63" t="s">
        <v>172</v>
      </c>
    </row>
    <row r="11" customFormat="false" ht="108" hidden="false" customHeight="true" outlineLevel="0" collapsed="false">
      <c r="B11" s="62" t="s">
        <v>173</v>
      </c>
      <c r="C11" s="63" t="s">
        <v>174</v>
      </c>
    </row>
    <row r="12" customFormat="false" ht="90" hidden="false" customHeight="true" outlineLevel="0" collapsed="false">
      <c r="B12" s="62" t="s">
        <v>175</v>
      </c>
      <c r="C12" s="63" t="s">
        <v>176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5" right="0.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2026-05-28T18:16:15Z</dcterms:created>
  <dc:creator>openpyxl</dc:creator>
  <dc:description/>
  <dc:language>en-US</dc:language>
  <cp:lastModifiedBy/>
  <dcterms:modified xsi:type="dcterms:W3CDTF">2026-05-28T18:16:15Z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